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6" name="Dashboard" state="visible" r:id="rId5"/>
    <sheet sheetId="2" name="Maturity scoring" state="visible" r:id="rId6"/>
    <sheet sheetId="3" name="Asset register" state="visible" r:id="rId7"/>
    <sheet sheetId="4" name="Third-party register" state="visible" r:id="rId8"/>
    <sheet sheetId="5" name="Policy register" state="visible" r:id="rId9"/>
  </sheets>
  <calcPr calcId="171027"/>
</workbook>
</file>

<file path=xl/sharedStrings.xml><?xml version="1.0" encoding="utf-8"?>
<sst xmlns="http://schemas.openxmlformats.org/spreadsheetml/2006/main" count="1044" uniqueCount="405">
  <si>
    <t>DORA Implementation Toolkit — Combined Workbook</t>
  </si>
  <si>
    <t/>
  </si>
  <si>
    <t>Purpose</t>
  </si>
  <si>
    <t>Self-assessment and register workbook aligned to Regulation (EU) 2022/2554 (DORA) and its RTS/ITS.</t>
  </si>
  <si>
    <t>How to use</t>
  </si>
  <si>
    <t>1) Fill the Maturity scoring tab (current_score 0-5). 2) Complete the three registers. 3) The Dashboard updates automatically.</t>
  </si>
  <si>
    <t>Scoring</t>
  </si>
  <si>
    <t>0 = not started, 1 = initial, 2 = developing, 3 = defined (target), 4 = managed, 5 = optimised.</t>
  </si>
  <si>
    <t>RAG logic</t>
  </si>
  <si>
    <t>Green = avg &gt;= target AND no legal fails; Amber = avg &gt;= 2 or minor gaps; Red = avg &lt; 2 or any legal item failed.</t>
  </si>
  <si>
    <t>Legal items</t>
  </si>
  <si>
    <t>Rows marked "Yes" in legal_duty carry a regulatory obligation — treat a fail here as a compliance gap, not just maturity.</t>
  </si>
  <si>
    <t>Live version</t>
  </si>
  <si>
    <t>An interactive HTML version is published at the GitHub Pages URL in the repo README.</t>
  </si>
  <si>
    <t>Disclaimer</t>
  </si>
  <si>
    <t>This toolkit is implementation guidance, not legal advice. Validate against EUR-Lex and CSSF requirements for your firm.</t>
  </si>
  <si>
    <t>Sources</t>
  </si>
  <si>
    <t>DORA 2022/2554; Reporting RTS 2025/301; Reporting ITS 2025/302; Register ITS 2024/2956. See docs/regulatory-references.md.</t>
  </si>
  <si>
    <t>DORA Readiness Dashboard</t>
  </si>
  <si>
    <t>Auto-calculated from the Maturity scoring tab. Fill scores there; this updates automatically.</t>
  </si>
  <si>
    <t>Pillar</t>
  </si>
  <si>
    <t>Controls</t>
  </si>
  <si>
    <t>Scored</t>
  </si>
  <si>
    <t>Avg score (0-5)</t>
  </si>
  <si>
    <t>Below target</t>
  </si>
  <si>
    <t>Legal fails</t>
  </si>
  <si>
    <t>RAG</t>
  </si>
  <si>
    <t>0 Governance</t>
  </si>
  <si>
    <t>1 ICT risk</t>
  </si>
  <si>
    <t>2 Incident</t>
  </si>
  <si>
    <t>3 Testing</t>
  </si>
  <si>
    <t>4 Third-party</t>
  </si>
  <si>
    <t>5 Info sharing</t>
  </si>
  <si>
    <t>OVERALL</t>
  </si>
  <si>
    <t>control_id</t>
  </si>
  <si>
    <t>pillar</t>
  </si>
  <si>
    <t>control_name</t>
  </si>
  <si>
    <t>legal_duty</t>
  </si>
  <si>
    <t>current_score_0_5</t>
  </si>
  <si>
    <t>target_score</t>
  </si>
  <si>
    <t>evidence_reference</t>
  </si>
  <si>
    <t>legal_item_passed</t>
  </si>
  <si>
    <t>gap_below_3</t>
  </si>
  <si>
    <t>priority</t>
  </si>
  <si>
    <t>root_cause</t>
  </si>
  <si>
    <t>fix_action</t>
  </si>
  <si>
    <t>owner</t>
  </si>
  <si>
    <t>due_date</t>
  </si>
  <si>
    <t>recheck_date</t>
  </si>
  <si>
    <t>GOV-01</t>
  </si>
  <si>
    <t>Framework approved and reviewed</t>
  </si>
  <si>
    <t>Yes (board approval)</t>
  </si>
  <si>
    <t>GOV-02</t>
  </si>
  <si>
    <t>Roles and accountability</t>
  </si>
  <si>
    <t>No</t>
  </si>
  <si>
    <t>GOV-03</t>
  </si>
  <si>
    <t>Board oversight</t>
  </si>
  <si>
    <t>GOV-04</t>
  </si>
  <si>
    <t>Board training</t>
  </si>
  <si>
    <t>GOV-05</t>
  </si>
  <si>
    <t>Resilience budget</t>
  </si>
  <si>
    <t>GOV-06</t>
  </si>
  <si>
    <t>Proportionality assessed</t>
  </si>
  <si>
    <t>GOV-07</t>
  </si>
  <si>
    <t>Three lines and audit</t>
  </si>
  <si>
    <t>RM-01</t>
  </si>
  <si>
    <t>Resilience strategy</t>
  </si>
  <si>
    <t>RM-02</t>
  </si>
  <si>
    <t>Asset and dependency inventory</t>
  </si>
  <si>
    <t>RM-03</t>
  </si>
  <si>
    <t>Risk assessment</t>
  </si>
  <si>
    <t>RM-04</t>
  </si>
  <si>
    <t>Information security controls</t>
  </si>
  <si>
    <t>RM-05</t>
  </si>
  <si>
    <t>Detection</t>
  </si>
  <si>
    <t>RM-06</t>
  </si>
  <si>
    <t>Continuity and recovery</t>
  </si>
  <si>
    <t>RM-07</t>
  </si>
  <si>
    <t>Backups</t>
  </si>
  <si>
    <t>RM-08</t>
  </si>
  <si>
    <t>Learning</t>
  </si>
  <si>
    <t>RM-09</t>
  </si>
  <si>
    <t>Training</t>
  </si>
  <si>
    <t>RM-10</t>
  </si>
  <si>
    <t>Framework review</t>
  </si>
  <si>
    <t>INC-01</t>
  </si>
  <si>
    <t>Incident process</t>
  </si>
  <si>
    <t>INC-02</t>
  </si>
  <si>
    <t>Classification (RTS thresholds)</t>
  </si>
  <si>
    <t>Yes (thresholds)</t>
  </si>
  <si>
    <t>INC-03</t>
  </si>
  <si>
    <t>Roles and escalation</t>
  </si>
  <si>
    <t>INC-04</t>
  </si>
  <si>
    <t>Reporting timeliness</t>
  </si>
  <si>
    <t>Yes (deadlines)</t>
  </si>
  <si>
    <t>INC-05</t>
  </si>
  <si>
    <t>Reporting content</t>
  </si>
  <si>
    <t>Yes (Reporting RTS fields)</t>
  </si>
  <si>
    <t>INC-06</t>
  </si>
  <si>
    <t>Client notification</t>
  </si>
  <si>
    <t>Yes</t>
  </si>
  <si>
    <t>INC-07</t>
  </si>
  <si>
    <t>Threat notification</t>
  </si>
  <si>
    <t>INC-08</t>
  </si>
  <si>
    <t>Lessons learned</t>
  </si>
  <si>
    <t>INC-09</t>
  </si>
  <si>
    <t>Payment incidents</t>
  </si>
  <si>
    <t>Yes (if applicable)</t>
  </si>
  <si>
    <t>TST-01</t>
  </si>
  <si>
    <t>Testing programme</t>
  </si>
  <si>
    <t>TST-02</t>
  </si>
  <si>
    <t>Critical systems tested</t>
  </si>
  <si>
    <t>TST-03</t>
  </si>
  <si>
    <t>Mix of methods</t>
  </si>
  <si>
    <t>TST-04</t>
  </si>
  <si>
    <t>Tester independence</t>
  </si>
  <si>
    <t>TST-05</t>
  </si>
  <si>
    <t>Findings fixed</t>
  </si>
  <si>
    <t>TST-06</t>
  </si>
  <si>
    <t>TLPT if named</t>
  </si>
  <si>
    <t>Yes (if in scope)</t>
  </si>
  <si>
    <t>TST-07</t>
  </si>
  <si>
    <t>Third parties in TLPT</t>
  </si>
  <si>
    <t>TST-08</t>
  </si>
  <si>
    <t>TLPT method and attestation</t>
  </si>
  <si>
    <t>TPP-01</t>
  </si>
  <si>
    <t>Strategy and policy</t>
  </si>
  <si>
    <t>TPP-02</t>
  </si>
  <si>
    <t>Register of information</t>
  </si>
  <si>
    <t>Yes (completeness)</t>
  </si>
  <si>
    <t>TPP-03</t>
  </si>
  <si>
    <t>Due diligence</t>
  </si>
  <si>
    <t>TPP-04</t>
  </si>
  <si>
    <t>Contract terms</t>
  </si>
  <si>
    <t>Yes (required+enhanced)</t>
  </si>
  <si>
    <t>TPP-05</t>
  </si>
  <si>
    <t>Audit rights</t>
  </si>
  <si>
    <t>TPP-06</t>
  </si>
  <si>
    <t>Concentration and sub-outsourcing</t>
  </si>
  <si>
    <t>TPP-07</t>
  </si>
  <si>
    <t>Exit strategies</t>
  </si>
  <si>
    <t>TPP-08</t>
  </si>
  <si>
    <t>CTPP tracking</t>
  </si>
  <si>
    <t>TPP-09</t>
  </si>
  <si>
    <t>Regulatory reporting of register</t>
  </si>
  <si>
    <t>Yes (yearly)</t>
  </si>
  <si>
    <t>ISH-01</t>
  </si>
  <si>
    <t>Participation decision</t>
  </si>
  <si>
    <t>ISH-02</t>
  </si>
  <si>
    <t>Trusted communities</t>
  </si>
  <si>
    <t>ISH-03</t>
  </si>
  <si>
    <t>Safeguards</t>
  </si>
  <si>
    <t>ISH-04</t>
  </si>
  <si>
    <t>Regulator notified</t>
  </si>
  <si>
    <t>Yes (if participating)</t>
  </si>
  <si>
    <t>ISH-05</t>
  </si>
  <si>
    <t>Intelligence used</t>
  </si>
  <si>
    <t>asset_id</t>
  </si>
  <si>
    <t>asset_name</t>
  </si>
  <si>
    <t>asset_type</t>
  </si>
  <si>
    <t>business_function_supported</t>
  </si>
  <si>
    <t>critical_or_important</t>
  </si>
  <si>
    <t>hosting_location</t>
  </si>
  <si>
    <t>third_party_provider</t>
  </si>
  <si>
    <t>dependencies</t>
  </si>
  <si>
    <t>confidentiality</t>
  </si>
  <si>
    <t>integrity</t>
  </si>
  <si>
    <t>availability</t>
  </si>
  <si>
    <t>rto</t>
  </si>
  <si>
    <t>rpo</t>
  </si>
  <si>
    <t>last_backup_test</t>
  </si>
  <si>
    <t>last_restore_test</t>
  </si>
  <si>
    <t>notes</t>
  </si>
  <si>
    <t>AST-001</t>
  </si>
  <si>
    <t>Core payments application</t>
  </si>
  <si>
    <t>application</t>
  </si>
  <si>
    <t>Process customer payments</t>
  </si>
  <si>
    <t>Critical</t>
  </si>
  <si>
    <t>CTO</t>
  </si>
  <si>
    <t>CloudProvider Ltd (IE)</t>
  </si>
  <si>
    <t>Payments DB; KYC API</t>
  </si>
  <si>
    <t>High</t>
  </si>
  <si>
    <t>2h</t>
  </si>
  <si>
    <t>15m</t>
  </si>
  <si>
    <t>2025-11-10</t>
  </si>
  <si>
    <t>2025-11-12</t>
  </si>
  <si>
    <t>Behind critical function; segregated backups</t>
  </si>
  <si>
    <t>AST-002</t>
  </si>
  <si>
    <t>Payments database</t>
  </si>
  <si>
    <t>database</t>
  </si>
  <si>
    <t>Head of Infrastructure</t>
  </si>
  <si>
    <t>Encrypted at rest; PITR enabled</t>
  </si>
  <si>
    <t>AST-003</t>
  </si>
  <si>
    <t>KYC / identity API</t>
  </si>
  <si>
    <t>external service</t>
  </si>
  <si>
    <t>Client onboarding</t>
  </si>
  <si>
    <t>Important</t>
  </si>
  <si>
    <t>Head of Compliance</t>
  </si>
  <si>
    <t>SaaS KYC Ltd (FR)</t>
  </si>
  <si>
    <t>Medium</t>
  </si>
  <si>
    <t>4h</t>
  </si>
  <si>
    <t>1h</t>
  </si>
  <si>
    <t>N/A</t>
  </si>
  <si>
    <t>SOC 2 relied on; no direct audit</t>
  </si>
  <si>
    <t>AST-004</t>
  </si>
  <si>
    <t>Customer web portal</t>
  </si>
  <si>
    <t>Client self-service</t>
  </si>
  <si>
    <t>Head of Engineering</t>
  </si>
  <si>
    <t>Core payments app; Auth service</t>
  </si>
  <si>
    <t>2025-10-01</t>
  </si>
  <si>
    <t>2025-10-03</t>
  </si>
  <si>
    <t>Public-facing; WAF in front</t>
  </si>
  <si>
    <t>AST-005</t>
  </si>
  <si>
    <t>Identity / auth service</t>
  </si>
  <si>
    <t>Access management</t>
  </si>
  <si>
    <t>CISO</t>
  </si>
  <si>
    <t>Directory; portal; core app</t>
  </si>
  <si>
    <t>MFA enforced</t>
  </si>
  <si>
    <t>AST-006</t>
  </si>
  <si>
    <t>Backup / DR environment</t>
  </si>
  <si>
    <t>infrastructure</t>
  </si>
  <si>
    <t>DR for core payments</t>
  </si>
  <si>
    <t>DataCentre Group (NL)</t>
  </si>
  <si>
    <t>Core payments DB</t>
  </si>
  <si>
    <t>2025-09-15</t>
  </si>
  <si>
    <t>Segregated; partial live failover tested</t>
  </si>
  <si>
    <t>AST-007</t>
  </si>
  <si>
    <t>Transactional email service</t>
  </si>
  <si>
    <t>Client notifications</t>
  </si>
  <si>
    <t>MailSend Inc (US)</t>
  </si>
  <si>
    <t>Customer portal</t>
  </si>
  <si>
    <t>Low</t>
  </si>
  <si>
    <t>24h</t>
  </si>
  <si>
    <t>Non-critical; US data location noted</t>
  </si>
  <si>
    <t>AST-008</t>
  </si>
  <si>
    <t>SIEM / logging platform</t>
  </si>
  <si>
    <t>security tooling</t>
  </si>
  <si>
    <t>Detection and monitoring</t>
  </si>
  <si>
    <t>Self-hosted (NL)</t>
  </si>
  <si>
    <t>None (self-hosted)</t>
  </si>
  <si>
    <t>All critical systems</t>
  </si>
  <si>
    <t>8h</t>
  </si>
  <si>
    <t>2025-08-01</t>
  </si>
  <si>
    <t>Alerts on critical systems</t>
  </si>
  <si>
    <t>arrangement_id</t>
  </si>
  <si>
    <t>provider_legal_name</t>
  </si>
  <si>
    <t>provider_lei</t>
  </si>
  <si>
    <t>provider_country</t>
  </si>
  <si>
    <t>service_description</t>
  </si>
  <si>
    <t>service_type</t>
  </si>
  <si>
    <t>supports_critical_or_important_function</t>
  </si>
  <si>
    <t>functions_supported</t>
  </si>
  <si>
    <t>contract_start</t>
  </si>
  <si>
    <t>contract_end</t>
  </si>
  <si>
    <t>notice_period</t>
  </si>
  <si>
    <t>data_locations</t>
  </si>
  <si>
    <t>sub_outsourcing</t>
  </si>
  <si>
    <t>substitutability</t>
  </si>
  <si>
    <t>concentration_flag</t>
  </si>
  <si>
    <t>audit_access_rights_secured</t>
  </si>
  <si>
    <t>tlpt_cooperation_clause</t>
  </si>
  <si>
    <t>exit_strategy_documented</t>
  </si>
  <si>
    <t>exit_strategy_tested</t>
  </si>
  <si>
    <t>ctpp_designated</t>
  </si>
  <si>
    <t>risk_rating</t>
  </si>
  <si>
    <t>contract_owner</t>
  </si>
  <si>
    <t>last_due_diligence</t>
  </si>
  <si>
    <t>last_review</t>
  </si>
  <si>
    <t>TPA-001</t>
  </si>
  <si>
    <t>CloudProvider Ltd</t>
  </si>
  <si>
    <t>529900XXXXXXXXXXXX01</t>
  </si>
  <si>
    <t>IE</t>
  </si>
  <si>
    <t>Core payments platform hosting (IaaS)</t>
  </si>
  <si>
    <t>cloud</t>
  </si>
  <si>
    <t>Core payments</t>
  </si>
  <si>
    <t>2024-01-01</t>
  </si>
  <si>
    <t>2026-12-31</t>
  </si>
  <si>
    <t>90 days</t>
  </si>
  <si>
    <t>IE, DE</t>
  </si>
  <si>
    <t>Yes; CDN sub-processor (US)</t>
  </si>
  <si>
    <t>Not substitutable</t>
  </si>
  <si>
    <t>Yes (DORA addendum)</t>
  </si>
  <si>
    <t>2025-11 (tabletop)</t>
  </si>
  <si>
    <t>Unknown</t>
  </si>
  <si>
    <t>2024-11-15</t>
  </si>
  <si>
    <t>2025-06-01</t>
  </si>
  <si>
    <t>TPA-002</t>
  </si>
  <si>
    <t>SaaS KYC Ltd</t>
  </si>
  <si>
    <t>529900XXXXXXXXXXXX02</t>
  </si>
  <si>
    <t>FR</t>
  </si>
  <si>
    <t>Identity verification / KYC API</t>
  </si>
  <si>
    <t>software</t>
  </si>
  <si>
    <t>2024-03-01</t>
  </si>
  <si>
    <t>2025-03-01</t>
  </si>
  <si>
    <t>60 days</t>
  </si>
  <si>
    <t>Difficult</t>
  </si>
  <si>
    <t>Partial (SOC 2 only)</t>
  </si>
  <si>
    <t>2024-02-20</t>
  </si>
  <si>
    <t>2025-02-15</t>
  </si>
  <si>
    <t>TPA-003</t>
  </si>
  <si>
    <t>MailSend Inc</t>
  </si>
  <si>
    <t>529900XXXXXXXXXXXX03</t>
  </si>
  <si>
    <t>US</t>
  </si>
  <si>
    <t>Transactional email delivery</t>
  </si>
  <si>
    <t>2023-06-01</t>
  </si>
  <si>
    <t>30 days</t>
  </si>
  <si>
    <t>Easy</t>
  </si>
  <si>
    <t>2024-05-10</t>
  </si>
  <si>
    <t>2025-05-01</t>
  </si>
  <si>
    <t>TPA-004</t>
  </si>
  <si>
    <t>DataCentre Group</t>
  </si>
  <si>
    <t>529900XXXXXXXXXXXX04</t>
  </si>
  <si>
    <t>NL</t>
  </si>
  <si>
    <t>Backup / disaster-recovery colocation</t>
  </si>
  <si>
    <t>data centre</t>
  </si>
  <si>
    <t>2027-01-01</t>
  </si>
  <si>
    <t>180 days</t>
  </si>
  <si>
    <t>2025-09 (partial live)</t>
  </si>
  <si>
    <t>2024-12-01</t>
  </si>
  <si>
    <t>TPA-005</t>
  </si>
  <si>
    <t>IntraGroup Tech BV</t>
  </si>
  <si>
    <t>529900XXXXXXXXXXXX05</t>
  </si>
  <si>
    <t>Shared internal ICT services (intra-group)</t>
  </si>
  <si>
    <t>managed service</t>
  </si>
  <si>
    <t>Shared platform services</t>
  </si>
  <si>
    <t>2026-01-01</t>
  </si>
  <si>
    <t>COO</t>
  </si>
  <si>
    <t>2024-10-01</t>
  </si>
  <si>
    <t>policy_id</t>
  </si>
  <si>
    <t>policy_name</t>
  </si>
  <si>
    <t>dora_pillar</t>
  </si>
  <si>
    <t>dora_articles</t>
  </si>
  <si>
    <t>approver</t>
  </si>
  <si>
    <t>approved_date</t>
  </si>
  <si>
    <t>next_review</t>
  </si>
  <si>
    <t>status</t>
  </si>
  <si>
    <t>linked_controls</t>
  </si>
  <si>
    <t>evidence_location</t>
  </si>
  <si>
    <t>POL-01</t>
  </si>
  <si>
    <t>ICT Risk Management Framework</t>
  </si>
  <si>
    <t>1</t>
  </si>
  <si>
    <t>Art. 6</t>
  </si>
  <si>
    <t>Board</t>
  </si>
  <si>
    <t>2025-01-15</t>
  </si>
  <si>
    <t>2026-01-15</t>
  </si>
  <si>
    <t>Approved</t>
  </si>
  <si>
    <t>RM-01;RM-04</t>
  </si>
  <si>
    <t>/governance/framework</t>
  </si>
  <si>
    <t>POL-02</t>
  </si>
  <si>
    <t>Information Security Policy</t>
  </si>
  <si>
    <t>Art. 9</t>
  </si>
  <si>
    <t>ExCo</t>
  </si>
  <si>
    <t>2025-02-01</t>
  </si>
  <si>
    <t>2026-02-01</t>
  </si>
  <si>
    <t>/security/infosec-policy</t>
  </si>
  <si>
    <t>POL-03</t>
  </si>
  <si>
    <t>Business Continuity and DR Policy</t>
  </si>
  <si>
    <t>Art. 11-12</t>
  </si>
  <si>
    <t>2025-02-10</t>
  </si>
  <si>
    <t>2026-02-10</t>
  </si>
  <si>
    <t>RM-06;RM-07</t>
  </si>
  <si>
    <t>/continuity</t>
  </si>
  <si>
    <t>POL-04</t>
  </si>
  <si>
    <t>Backup Policy</t>
  </si>
  <si>
    <t>Art. 12</t>
  </si>
  <si>
    <t>/continuity/backup</t>
  </si>
  <si>
    <t>POL-05</t>
  </si>
  <si>
    <t>ICT Incident Management and Reporting Policy</t>
  </si>
  <si>
    <t>2</t>
  </si>
  <si>
    <t>Art. 17-23</t>
  </si>
  <si>
    <t>Incident Manager</t>
  </si>
  <si>
    <t>2026-03-01</t>
  </si>
  <si>
    <t>INC-01;INC-04</t>
  </si>
  <si>
    <t>/incident</t>
  </si>
  <si>
    <t>POL-06</t>
  </si>
  <si>
    <t>Resilience Testing Policy</t>
  </si>
  <si>
    <t>3</t>
  </si>
  <si>
    <t>Art. 24-27</t>
  </si>
  <si>
    <t>2025-03-15</t>
  </si>
  <si>
    <t>2026-03-15</t>
  </si>
  <si>
    <t>TST-01;TST-05</t>
  </si>
  <si>
    <t>/testing</t>
  </si>
  <si>
    <t>POL-07</t>
  </si>
  <si>
    <t>ICT Third-Party Risk Policy</t>
  </si>
  <si>
    <t>4</t>
  </si>
  <si>
    <t>Art. 28-30</t>
  </si>
  <si>
    <t>Head of Third-Party Risk</t>
  </si>
  <si>
    <t>2025-04-01</t>
  </si>
  <si>
    <t>2026-04-01</t>
  </si>
  <si>
    <t>TPP-01;TPP-04</t>
  </si>
  <si>
    <t>/third-party</t>
  </si>
  <si>
    <t>POL-08</t>
  </si>
  <si>
    <t>Information Sharing Policy</t>
  </si>
  <si>
    <t>5</t>
  </si>
  <si>
    <t>Art. 45</t>
  </si>
  <si>
    <t>Draft</t>
  </si>
  <si>
    <t>ISH-01;ISH-03</t>
  </si>
  <si>
    <t>/info-sharing</t>
  </si>
  <si>
    <t>POL-09</t>
  </si>
  <si>
    <t>Proportionality Assessment</t>
  </si>
  <si>
    <t>0</t>
  </si>
  <si>
    <t>Art. 4;16</t>
  </si>
  <si>
    <t>2025-01-10</t>
  </si>
  <si>
    <t>2026-01-10</t>
  </si>
  <si>
    <t>/governance/proportionality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</si>
</sst>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F3A5F"/>
      <sz val="14"/>
    </font>
    <font>
      <b/>
    </font>
    <font>
      <b/>
      <color rgb="FF1F3A5F"/>
      <sz val="15"/>
    </font>
    <font>
      <i/>
      <color rgb="FF666666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1F3A5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6">
    <dxf>
      <font>
        <b/>
        <color rgb="FF7F0000"/>
      </font>
      <fill>
        <patternFill patternType="solid">
          <bgColor rgb="FFE57373"/>
        </patternFill>
      </fill>
    </dxf>
    <dxf>
      <font>
        <b/>
        <color rgb="FF7A5C00"/>
      </font>
      <fill>
        <patternFill patternType="solid">
          <bgColor rgb="FFFFD54F"/>
        </patternFill>
      </fill>
    </dxf>
    <dxf>
      <font>
        <b/>
        <color rgb="FF1B5E20"/>
      </font>
      <fill>
        <patternFill patternType="solid">
          <bgColor rgb="FF81C784"/>
        </patternFill>
      </fill>
    </dxf>
    <dxf>
      <fill>
        <patternFill patternType="solid">
          <bgColor rgb="FFF8CBCB"/>
        </patternFill>
      </fill>
    </dxf>
    <dxf>
      <fill>
        <patternFill patternType="solid">
          <bgColor rgb="FFFFF0B3"/>
        </patternFill>
      </fill>
    </dxf>
    <dxf>
      <fill>
        <patternFill patternType="solid">
          <bgColor rgb="FFC8E6C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6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3A5F"/>
  </sheetPr>
  <dimension ref="A1:B10"/>
  <sheetFormatPr defaultRowHeight="15" outlineLevelRow="0" outlineLevelCol="0" x14ac:dyDescent="55"/>
  <cols>
    <col min="1" max="1" width="22" customWidth="1"/>
    <col min="2" max="2" width="90" customWidth="1"/>
  </cols>
  <sheetData>
    <row r="1" ht="22" customHeight="1" spans="1:2" s="1" customFormat="1" x14ac:dyDescent="0.25">
      <c r="A1" s="1" t="s">
        <v>0</v>
      </c>
      <c r="B1" s="1" t="s">
        <v>1</v>
      </c>
    </row>
    <row r="2" spans="1:2" x14ac:dyDescent="0.25">
      <c r="A2" t="s">
        <v>1</v>
      </c>
      <c r="B2" t="s">
        <v>1</v>
      </c>
    </row>
    <row r="3" spans="1:2" x14ac:dyDescent="0.25">
      <c r="A3" s="2" t="s">
        <v>2</v>
      </c>
      <c r="B3" s="3" t="s">
        <v>3</v>
      </c>
    </row>
    <row r="4" spans="1:2" x14ac:dyDescent="0.25">
      <c r="A4" s="2" t="s">
        <v>4</v>
      </c>
      <c r="B4" s="3" t="s">
        <v>5</v>
      </c>
    </row>
    <row r="5" spans="1:2" x14ac:dyDescent="0.25">
      <c r="A5" s="2" t="s">
        <v>6</v>
      </c>
      <c r="B5" s="3" t="s">
        <v>7</v>
      </c>
    </row>
    <row r="6" spans="1:2" x14ac:dyDescent="0.25">
      <c r="A6" s="2" t="s">
        <v>8</v>
      </c>
      <c r="B6" s="3" t="s">
        <v>9</v>
      </c>
    </row>
    <row r="7" spans="1:2" x14ac:dyDescent="0.25">
      <c r="A7" s="2" t="s">
        <v>10</v>
      </c>
      <c r="B7" s="3" t="s">
        <v>11</v>
      </c>
    </row>
    <row r="8" spans="1:2" x14ac:dyDescent="0.25">
      <c r="A8" s="2" t="s">
        <v>12</v>
      </c>
      <c r="B8" s="3" t="s">
        <v>13</v>
      </c>
    </row>
    <row r="9" spans="1:2" x14ac:dyDescent="0.25">
      <c r="A9" s="2" t="s">
        <v>14</v>
      </c>
      <c r="B9" s="3" t="s">
        <v>15</v>
      </c>
    </row>
    <row r="10" spans="1:2" x14ac:dyDescent="0.25">
      <c r="A10" s="2" t="s">
        <v>16</v>
      </c>
      <c r="B10" s="3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32"/>
  </sheetPr>
  <dimension ref="A1:O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6" customWidth="1"/>
    <col min="3" max="3" width="34" customWidth="1"/>
    <col min="4" max="4" width="20" customWidth="1"/>
    <col min="5" max="5" width="14" customWidth="1"/>
    <col min="6" max="6" width="11" customWidth="1"/>
    <col min="7" max="7" width="20" customWidth="1"/>
    <col min="8" max="8" width="16" customWidth="1"/>
    <col min="9" max="9" width="11" customWidth="1"/>
    <col min="10" max="10" width="10" customWidth="1"/>
    <col min="11" max="12" width="20" customWidth="1"/>
    <col min="13" max="13" width="14" customWidth="1"/>
    <col min="14" max="15" width="12" customWidth="1"/>
  </cols>
  <sheetData>
    <row r="1" ht="30" customHeight="1" spans="1:15" x14ac:dyDescent="0.25">
      <c r="A1" s="6" t="s">
        <v>34</v>
      </c>
      <c r="B1" s="6" t="s">
        <v>35</v>
      </c>
      <c r="C1" s="6" t="s">
        <v>36</v>
      </c>
      <c r="D1" s="6" t="s">
        <v>37</v>
      </c>
      <c r="E1" s="6" t="s">
        <v>38</v>
      </c>
      <c r="F1" s="6" t="s">
        <v>39</v>
      </c>
      <c r="G1" s="6" t="s">
        <v>40</v>
      </c>
      <c r="H1" s="6" t="s">
        <v>41</v>
      </c>
      <c r="I1" s="6" t="s">
        <v>42</v>
      </c>
      <c r="J1" s="6" t="s">
        <v>43</v>
      </c>
      <c r="K1" s="6" t="s">
        <v>44</v>
      </c>
      <c r="L1" s="6" t="s">
        <v>45</v>
      </c>
      <c r="M1" s="6" t="s">
        <v>46</v>
      </c>
      <c r="N1" s="6" t="s">
        <v>47</v>
      </c>
      <c r="O1" s="6" t="s">
        <v>48</v>
      </c>
    </row>
    <row r="2" spans="1:15" x14ac:dyDescent="0.25">
      <c r="A2" s="9" t="s">
        <v>49</v>
      </c>
      <c r="B2" s="9" t="s">
        <v>27</v>
      </c>
      <c r="C2" s="9" t="s">
        <v>50</v>
      </c>
      <c r="D2" s="9" t="s">
        <v>51</v>
      </c>
      <c r="E2" s="9" t="s">
        <v>1</v>
      </c>
      <c r="F2" s="9">
        <v>3</v>
      </c>
      <c r="G2" s="9" t="s">
        <v>1</v>
      </c>
      <c r="H2" s="9" t="s">
        <v>1</v>
      </c>
      <c r="I2" s="9">
        <f>IF(E2="","",IF(E2&lt;3,"Yes","No"))</f>
      </c>
      <c r="J2" s="9">
        <f>IF(E2="","",IF(AND(LEFT(D2,3)="Yes",OR(E2&lt;F2,H2="No")),"P1 legal",IF(E2&lt;F2,"P2 gap","OK")))</f>
      </c>
      <c r="K2" s="9" t="s">
        <v>1</v>
      </c>
      <c r="L2" s="9" t="s">
        <v>1</v>
      </c>
      <c r="M2" s="9" t="s">
        <v>1</v>
      </c>
      <c r="N2" s="9" t="s">
        <v>1</v>
      </c>
      <c r="O2" s="9" t="s">
        <v>1</v>
      </c>
    </row>
    <row r="3" spans="1:15" x14ac:dyDescent="0.25">
      <c r="A3" s="9" t="s">
        <v>52</v>
      </c>
      <c r="B3" s="9" t="s">
        <v>27</v>
      </c>
      <c r="C3" s="9" t="s">
        <v>53</v>
      </c>
      <c r="D3" s="9" t="s">
        <v>54</v>
      </c>
      <c r="E3" s="9" t="s">
        <v>1</v>
      </c>
      <c r="F3" s="9">
        <v>3</v>
      </c>
      <c r="G3" s="9" t="s">
        <v>1</v>
      </c>
      <c r="H3" s="9" t="s">
        <v>1</v>
      </c>
      <c r="I3" s="9">
        <f>IF(E3="","",IF(E3&lt;3,"Yes","No"))</f>
      </c>
      <c r="J3" s="9">
        <f>IF(E3="","",IF(AND(LEFT(D3,3)="Yes",OR(E3&lt;F3,H3="No")),"P1 legal",IF(E3&lt;F3,"P2 gap","OK")))</f>
      </c>
      <c r="K3" s="9" t="s">
        <v>1</v>
      </c>
      <c r="L3" s="9" t="s">
        <v>1</v>
      </c>
      <c r="M3" s="9" t="s">
        <v>1</v>
      </c>
      <c r="N3" s="9" t="s">
        <v>1</v>
      </c>
      <c r="O3" s="9" t="s">
        <v>1</v>
      </c>
    </row>
    <row r="4" spans="1:15" x14ac:dyDescent="0.25">
      <c r="A4" s="9" t="s">
        <v>55</v>
      </c>
      <c r="B4" s="9" t="s">
        <v>27</v>
      </c>
      <c r="C4" s="9" t="s">
        <v>56</v>
      </c>
      <c r="D4" s="9" t="s">
        <v>54</v>
      </c>
      <c r="E4" s="9" t="s">
        <v>1</v>
      </c>
      <c r="F4" s="9">
        <v>3</v>
      </c>
      <c r="G4" s="9" t="s">
        <v>1</v>
      </c>
      <c r="H4" s="9" t="s">
        <v>1</v>
      </c>
      <c r="I4" s="9">
        <f>IF(E4="","",IF(E4&lt;3,"Yes","No"))</f>
      </c>
      <c r="J4" s="9">
        <f>IF(E4="","",IF(AND(LEFT(D4,3)="Yes",OR(E4&lt;F4,H4="No")),"P1 legal",IF(E4&lt;F4,"P2 gap","OK")))</f>
      </c>
      <c r="K4" s="9" t="s">
        <v>1</v>
      </c>
      <c r="L4" s="9" t="s">
        <v>1</v>
      </c>
      <c r="M4" s="9" t="s">
        <v>1</v>
      </c>
      <c r="N4" s="9" t="s">
        <v>1</v>
      </c>
      <c r="O4" s="9" t="s">
        <v>1</v>
      </c>
    </row>
    <row r="5" spans="1:15" x14ac:dyDescent="0.25">
      <c r="A5" s="9" t="s">
        <v>57</v>
      </c>
      <c r="B5" s="9" t="s">
        <v>27</v>
      </c>
      <c r="C5" s="9" t="s">
        <v>58</v>
      </c>
      <c r="D5" s="9" t="s">
        <v>54</v>
      </c>
      <c r="E5" s="9" t="s">
        <v>1</v>
      </c>
      <c r="F5" s="9">
        <v>3</v>
      </c>
      <c r="G5" s="9" t="s">
        <v>1</v>
      </c>
      <c r="H5" s="9" t="s">
        <v>1</v>
      </c>
      <c r="I5" s="9">
        <f>IF(E5="","",IF(E5&lt;3,"Yes","No"))</f>
      </c>
      <c r="J5" s="9">
        <f>IF(E5="","",IF(AND(LEFT(D5,3)="Yes",OR(E5&lt;F5,H5="No")),"P1 legal",IF(E5&lt;F5,"P2 gap","OK")))</f>
      </c>
      <c r="K5" s="9" t="s">
        <v>1</v>
      </c>
      <c r="L5" s="9" t="s">
        <v>1</v>
      </c>
      <c r="M5" s="9" t="s">
        <v>1</v>
      </c>
      <c r="N5" s="9" t="s">
        <v>1</v>
      </c>
      <c r="O5" s="9" t="s">
        <v>1</v>
      </c>
    </row>
    <row r="6" spans="1:15" x14ac:dyDescent="0.25">
      <c r="A6" s="9" t="s">
        <v>59</v>
      </c>
      <c r="B6" s="9" t="s">
        <v>27</v>
      </c>
      <c r="C6" s="9" t="s">
        <v>60</v>
      </c>
      <c r="D6" s="9" t="s">
        <v>54</v>
      </c>
      <c r="E6" s="9" t="s">
        <v>1</v>
      </c>
      <c r="F6" s="9">
        <v>3</v>
      </c>
      <c r="G6" s="9" t="s">
        <v>1</v>
      </c>
      <c r="H6" s="9" t="s">
        <v>1</v>
      </c>
      <c r="I6" s="9">
        <f>IF(E6="","",IF(E6&lt;3,"Yes","No"))</f>
      </c>
      <c r="J6" s="9">
        <f>IF(E6="","",IF(AND(LEFT(D6,3)="Yes",OR(E6&lt;F6,H6="No")),"P1 legal",IF(E6&lt;F6,"P2 gap","OK")))</f>
      </c>
      <c r="K6" s="9" t="s">
        <v>1</v>
      </c>
      <c r="L6" s="9" t="s">
        <v>1</v>
      </c>
      <c r="M6" s="9" t="s">
        <v>1</v>
      </c>
      <c r="N6" s="9" t="s">
        <v>1</v>
      </c>
      <c r="O6" s="9" t="s">
        <v>1</v>
      </c>
    </row>
    <row r="7" spans="1:15" x14ac:dyDescent="0.25">
      <c r="A7" s="9" t="s">
        <v>61</v>
      </c>
      <c r="B7" s="9" t="s">
        <v>27</v>
      </c>
      <c r="C7" s="9" t="s">
        <v>62</v>
      </c>
      <c r="D7" s="9" t="s">
        <v>54</v>
      </c>
      <c r="E7" s="9" t="s">
        <v>1</v>
      </c>
      <c r="F7" s="9">
        <v>3</v>
      </c>
      <c r="G7" s="9" t="s">
        <v>1</v>
      </c>
      <c r="H7" s="9" t="s">
        <v>1</v>
      </c>
      <c r="I7" s="9">
        <f>IF(E7="","",IF(E7&lt;3,"Yes","No"))</f>
      </c>
      <c r="J7" s="9">
        <f>IF(E7="","",IF(AND(LEFT(D7,3)="Yes",OR(E7&lt;F7,H7="No")),"P1 legal",IF(E7&lt;F7,"P2 gap","OK")))</f>
      </c>
      <c r="K7" s="9" t="s">
        <v>1</v>
      </c>
      <c r="L7" s="9" t="s">
        <v>1</v>
      </c>
      <c r="M7" s="9" t="s">
        <v>1</v>
      </c>
      <c r="N7" s="9" t="s">
        <v>1</v>
      </c>
      <c r="O7" s="9" t="s">
        <v>1</v>
      </c>
    </row>
    <row r="8" spans="1:15" x14ac:dyDescent="0.25">
      <c r="A8" s="9" t="s">
        <v>63</v>
      </c>
      <c r="B8" s="9" t="s">
        <v>27</v>
      </c>
      <c r="C8" s="9" t="s">
        <v>64</v>
      </c>
      <c r="D8" s="9" t="s">
        <v>54</v>
      </c>
      <c r="E8" s="9" t="s">
        <v>1</v>
      </c>
      <c r="F8" s="9">
        <v>3</v>
      </c>
      <c r="G8" s="9" t="s">
        <v>1</v>
      </c>
      <c r="H8" s="9" t="s">
        <v>1</v>
      </c>
      <c r="I8" s="9">
        <f>IF(E8="","",IF(E8&lt;3,"Yes","No"))</f>
      </c>
      <c r="J8" s="9">
        <f>IF(E8="","",IF(AND(LEFT(D8,3)="Yes",OR(E8&lt;F8,H8="No")),"P1 legal",IF(E8&lt;F8,"P2 gap","OK")))</f>
      </c>
      <c r="K8" s="9" t="s">
        <v>1</v>
      </c>
      <c r="L8" s="9" t="s">
        <v>1</v>
      </c>
      <c r="M8" s="9" t="s">
        <v>1</v>
      </c>
      <c r="N8" s="9" t="s">
        <v>1</v>
      </c>
      <c r="O8" s="9" t="s">
        <v>1</v>
      </c>
    </row>
    <row r="9" spans="1:15" x14ac:dyDescent="0.25">
      <c r="A9" s="9" t="s">
        <v>65</v>
      </c>
      <c r="B9" s="9" t="s">
        <v>28</v>
      </c>
      <c r="C9" s="9" t="s">
        <v>66</v>
      </c>
      <c r="D9" s="9" t="s">
        <v>54</v>
      </c>
      <c r="E9" s="9" t="s">
        <v>1</v>
      </c>
      <c r="F9" s="9">
        <v>3</v>
      </c>
      <c r="G9" s="9" t="s">
        <v>1</v>
      </c>
      <c r="H9" s="9" t="s">
        <v>1</v>
      </c>
      <c r="I9" s="9">
        <f>IF(E9="","",IF(E9&lt;3,"Yes","No"))</f>
      </c>
      <c r="J9" s="9">
        <f>IF(E9="","",IF(AND(LEFT(D9,3)="Yes",OR(E9&lt;F9,H9="No")),"P1 legal",IF(E9&lt;F9,"P2 gap","OK")))</f>
      </c>
      <c r="K9" s="9" t="s">
        <v>1</v>
      </c>
      <c r="L9" s="9" t="s">
        <v>1</v>
      </c>
      <c r="M9" s="9" t="s">
        <v>1</v>
      </c>
      <c r="N9" s="9" t="s">
        <v>1</v>
      </c>
      <c r="O9" s="9" t="s">
        <v>1</v>
      </c>
    </row>
    <row r="10" spans="1:15" x14ac:dyDescent="0.25">
      <c r="A10" s="9" t="s">
        <v>67</v>
      </c>
      <c r="B10" s="9" t="s">
        <v>28</v>
      </c>
      <c r="C10" s="9" t="s">
        <v>68</v>
      </c>
      <c r="D10" s="9" t="s">
        <v>54</v>
      </c>
      <c r="E10" s="9" t="s">
        <v>1</v>
      </c>
      <c r="F10" s="9">
        <v>3</v>
      </c>
      <c r="G10" s="9" t="s">
        <v>1</v>
      </c>
      <c r="H10" s="9" t="s">
        <v>1</v>
      </c>
      <c r="I10" s="9">
        <f>IF(E10="","",IF(E10&lt;3,"Yes","No"))</f>
      </c>
      <c r="J10" s="9">
        <f>IF(E10="","",IF(AND(LEFT(D10,3)="Yes",OR(E10&lt;F10,H10="No")),"P1 legal",IF(E10&lt;F10,"P2 gap","OK")))</f>
      </c>
      <c r="K10" s="9" t="s">
        <v>1</v>
      </c>
      <c r="L10" s="9" t="s">
        <v>1</v>
      </c>
      <c r="M10" s="9" t="s">
        <v>1</v>
      </c>
      <c r="N10" s="9" t="s">
        <v>1</v>
      </c>
      <c r="O10" s="9" t="s">
        <v>1</v>
      </c>
    </row>
    <row r="11" spans="1:15" x14ac:dyDescent="0.25">
      <c r="A11" s="9" t="s">
        <v>69</v>
      </c>
      <c r="B11" s="9" t="s">
        <v>28</v>
      </c>
      <c r="C11" s="9" t="s">
        <v>70</v>
      </c>
      <c r="D11" s="9" t="s">
        <v>54</v>
      </c>
      <c r="E11" s="9" t="s">
        <v>1</v>
      </c>
      <c r="F11" s="9">
        <v>3</v>
      </c>
      <c r="G11" s="9" t="s">
        <v>1</v>
      </c>
      <c r="H11" s="9" t="s">
        <v>1</v>
      </c>
      <c r="I11" s="9">
        <f>IF(E11="","",IF(E11&lt;3,"Yes","No"))</f>
      </c>
      <c r="J11" s="9">
        <f>IF(E11="","",IF(AND(LEFT(D11,3)="Yes",OR(E11&lt;F11,H11="No")),"P1 legal",IF(E11&lt;F11,"P2 gap","OK")))</f>
      </c>
      <c r="K11" s="9" t="s">
        <v>1</v>
      </c>
      <c r="L11" s="9" t="s">
        <v>1</v>
      </c>
      <c r="M11" s="9" t="s">
        <v>1</v>
      </c>
      <c r="N11" s="9" t="s">
        <v>1</v>
      </c>
      <c r="O11" s="9" t="s">
        <v>1</v>
      </c>
    </row>
    <row r="12" spans="1:15" x14ac:dyDescent="0.25">
      <c r="A12" s="9" t="s">
        <v>71</v>
      </c>
      <c r="B12" s="9" t="s">
        <v>28</v>
      </c>
      <c r="C12" s="9" t="s">
        <v>72</v>
      </c>
      <c r="D12" s="9" t="s">
        <v>54</v>
      </c>
      <c r="E12" s="9" t="s">
        <v>1</v>
      </c>
      <c r="F12" s="9">
        <v>3</v>
      </c>
      <c r="G12" s="9" t="s">
        <v>1</v>
      </c>
      <c r="H12" s="9" t="s">
        <v>1</v>
      </c>
      <c r="I12" s="9">
        <f>IF(E12="","",IF(E12&lt;3,"Yes","No"))</f>
      </c>
      <c r="J12" s="9">
        <f>IF(E12="","",IF(AND(LEFT(D12,3)="Yes",OR(E12&lt;F12,H12="No")),"P1 legal",IF(E12&lt;F12,"P2 gap","OK")))</f>
      </c>
      <c r="K12" s="9" t="s">
        <v>1</v>
      </c>
      <c r="L12" s="9" t="s">
        <v>1</v>
      </c>
      <c r="M12" s="9" t="s">
        <v>1</v>
      </c>
      <c r="N12" s="9" t="s">
        <v>1</v>
      </c>
      <c r="O12" s="9" t="s">
        <v>1</v>
      </c>
    </row>
    <row r="13" spans="1:15" x14ac:dyDescent="0.25">
      <c r="A13" s="9" t="s">
        <v>73</v>
      </c>
      <c r="B13" s="9" t="s">
        <v>28</v>
      </c>
      <c r="C13" s="9" t="s">
        <v>74</v>
      </c>
      <c r="D13" s="9" t="s">
        <v>54</v>
      </c>
      <c r="E13" s="9" t="s">
        <v>1</v>
      </c>
      <c r="F13" s="9">
        <v>3</v>
      </c>
      <c r="G13" s="9" t="s">
        <v>1</v>
      </c>
      <c r="H13" s="9" t="s">
        <v>1</v>
      </c>
      <c r="I13" s="9">
        <f>IF(E13="","",IF(E13&lt;3,"Yes","No"))</f>
      </c>
      <c r="J13" s="9">
        <f>IF(E13="","",IF(AND(LEFT(D13,3)="Yes",OR(E13&lt;F13,H13="No")),"P1 legal",IF(E13&lt;F13,"P2 gap","OK")))</f>
      </c>
      <c r="K13" s="9" t="s">
        <v>1</v>
      </c>
      <c r="L13" s="9" t="s">
        <v>1</v>
      </c>
      <c r="M13" s="9" t="s">
        <v>1</v>
      </c>
      <c r="N13" s="9" t="s">
        <v>1</v>
      </c>
      <c r="O13" s="9" t="s">
        <v>1</v>
      </c>
    </row>
    <row r="14" spans="1:15" x14ac:dyDescent="0.25">
      <c r="A14" s="9" t="s">
        <v>75</v>
      </c>
      <c r="B14" s="9" t="s">
        <v>28</v>
      </c>
      <c r="C14" s="9" t="s">
        <v>76</v>
      </c>
      <c r="D14" s="9" t="s">
        <v>54</v>
      </c>
      <c r="E14" s="9" t="s">
        <v>1</v>
      </c>
      <c r="F14" s="9">
        <v>3</v>
      </c>
      <c r="G14" s="9" t="s">
        <v>1</v>
      </c>
      <c r="H14" s="9" t="s">
        <v>1</v>
      </c>
      <c r="I14" s="9">
        <f>IF(E14="","",IF(E14&lt;3,"Yes","No"))</f>
      </c>
      <c r="J14" s="9">
        <f>IF(E14="","",IF(AND(LEFT(D14,3)="Yes",OR(E14&lt;F14,H14="No")),"P1 legal",IF(E14&lt;F14,"P2 gap","OK")))</f>
      </c>
      <c r="K14" s="9" t="s">
        <v>1</v>
      </c>
      <c r="L14" s="9" t="s">
        <v>1</v>
      </c>
      <c r="M14" s="9" t="s">
        <v>1</v>
      </c>
      <c r="N14" s="9" t="s">
        <v>1</v>
      </c>
      <c r="O14" s="9" t="s">
        <v>1</v>
      </c>
    </row>
    <row r="15" spans="1:15" x14ac:dyDescent="0.25">
      <c r="A15" s="9" t="s">
        <v>77</v>
      </c>
      <c r="B15" s="9" t="s">
        <v>28</v>
      </c>
      <c r="C15" s="9" t="s">
        <v>78</v>
      </c>
      <c r="D15" s="9" t="s">
        <v>54</v>
      </c>
      <c r="E15" s="9" t="s">
        <v>1</v>
      </c>
      <c r="F15" s="9">
        <v>3</v>
      </c>
      <c r="G15" s="9" t="s">
        <v>1</v>
      </c>
      <c r="H15" s="9" t="s">
        <v>1</v>
      </c>
      <c r="I15" s="9">
        <f>IF(E15="","",IF(E15&lt;3,"Yes","No"))</f>
      </c>
      <c r="J15" s="9">
        <f>IF(E15="","",IF(AND(LEFT(D15,3)="Yes",OR(E15&lt;F15,H15="No")),"P1 legal",IF(E15&lt;F15,"P2 gap","OK")))</f>
      </c>
      <c r="K15" s="9" t="s">
        <v>1</v>
      </c>
      <c r="L15" s="9" t="s">
        <v>1</v>
      </c>
      <c r="M15" s="9" t="s">
        <v>1</v>
      </c>
      <c r="N15" s="9" t="s">
        <v>1</v>
      </c>
      <c r="O15" s="9" t="s">
        <v>1</v>
      </c>
    </row>
    <row r="16" spans="1:15" x14ac:dyDescent="0.25">
      <c r="A16" s="9" t="s">
        <v>79</v>
      </c>
      <c r="B16" s="9" t="s">
        <v>28</v>
      </c>
      <c r="C16" s="9" t="s">
        <v>80</v>
      </c>
      <c r="D16" s="9" t="s">
        <v>54</v>
      </c>
      <c r="E16" s="9" t="s">
        <v>1</v>
      </c>
      <c r="F16" s="9">
        <v>3</v>
      </c>
      <c r="G16" s="9" t="s">
        <v>1</v>
      </c>
      <c r="H16" s="9" t="s">
        <v>1</v>
      </c>
      <c r="I16" s="9">
        <f>IF(E16="","",IF(E16&lt;3,"Yes","No"))</f>
      </c>
      <c r="J16" s="9">
        <f>IF(E16="","",IF(AND(LEFT(D16,3)="Yes",OR(E16&lt;F16,H16="No")),"P1 legal",IF(E16&lt;F16,"P2 gap","OK")))</f>
      </c>
      <c r="K16" s="9" t="s">
        <v>1</v>
      </c>
      <c r="L16" s="9" t="s">
        <v>1</v>
      </c>
      <c r="M16" s="9" t="s">
        <v>1</v>
      </c>
      <c r="N16" s="9" t="s">
        <v>1</v>
      </c>
      <c r="O16" s="9" t="s">
        <v>1</v>
      </c>
    </row>
    <row r="17" spans="1:15" x14ac:dyDescent="0.25">
      <c r="A17" s="9" t="s">
        <v>81</v>
      </c>
      <c r="B17" s="9" t="s">
        <v>28</v>
      </c>
      <c r="C17" s="9" t="s">
        <v>82</v>
      </c>
      <c r="D17" s="9" t="s">
        <v>54</v>
      </c>
      <c r="E17" s="9" t="s">
        <v>1</v>
      </c>
      <c r="F17" s="9">
        <v>3</v>
      </c>
      <c r="G17" s="9" t="s">
        <v>1</v>
      </c>
      <c r="H17" s="9" t="s">
        <v>1</v>
      </c>
      <c r="I17" s="9">
        <f>IF(E17="","",IF(E17&lt;3,"Yes","No"))</f>
      </c>
      <c r="J17" s="9">
        <f>IF(E17="","",IF(AND(LEFT(D17,3)="Yes",OR(E17&lt;F17,H17="No")),"P1 legal",IF(E17&lt;F17,"P2 gap","OK")))</f>
      </c>
      <c r="K17" s="9" t="s">
        <v>1</v>
      </c>
      <c r="L17" s="9" t="s">
        <v>1</v>
      </c>
      <c r="M17" s="9" t="s">
        <v>1</v>
      </c>
      <c r="N17" s="9" t="s">
        <v>1</v>
      </c>
      <c r="O17" s="9" t="s">
        <v>1</v>
      </c>
    </row>
    <row r="18" spans="1:15" x14ac:dyDescent="0.25">
      <c r="A18" s="9" t="s">
        <v>83</v>
      </c>
      <c r="B18" s="9" t="s">
        <v>28</v>
      </c>
      <c r="C18" s="9" t="s">
        <v>84</v>
      </c>
      <c r="D18" s="9" t="s">
        <v>54</v>
      </c>
      <c r="E18" s="9" t="s">
        <v>1</v>
      </c>
      <c r="F18" s="9">
        <v>3</v>
      </c>
      <c r="G18" s="9" t="s">
        <v>1</v>
      </c>
      <c r="H18" s="9" t="s">
        <v>1</v>
      </c>
      <c r="I18" s="9">
        <f>IF(E18="","",IF(E18&lt;3,"Yes","No"))</f>
      </c>
      <c r="J18" s="9">
        <f>IF(E18="","",IF(AND(LEFT(D18,3)="Yes",OR(E18&lt;F18,H18="No")),"P1 legal",IF(E18&lt;F18,"P2 gap","OK")))</f>
      </c>
      <c r="K18" s="9" t="s">
        <v>1</v>
      </c>
      <c r="L18" s="9" t="s">
        <v>1</v>
      </c>
      <c r="M18" s="9" t="s">
        <v>1</v>
      </c>
      <c r="N18" s="9" t="s">
        <v>1</v>
      </c>
      <c r="O18" s="9" t="s">
        <v>1</v>
      </c>
    </row>
    <row r="19" spans="1:15" x14ac:dyDescent="0.25">
      <c r="A19" s="9" t="s">
        <v>85</v>
      </c>
      <c r="B19" s="9" t="s">
        <v>29</v>
      </c>
      <c r="C19" s="9" t="s">
        <v>86</v>
      </c>
      <c r="D19" s="9" t="s">
        <v>54</v>
      </c>
      <c r="E19" s="9" t="s">
        <v>1</v>
      </c>
      <c r="F19" s="9">
        <v>3</v>
      </c>
      <c r="G19" s="9" t="s">
        <v>1</v>
      </c>
      <c r="H19" s="9" t="s">
        <v>1</v>
      </c>
      <c r="I19" s="9">
        <f>IF(E19="","",IF(E19&lt;3,"Yes","No"))</f>
      </c>
      <c r="J19" s="9">
        <f>IF(E19="","",IF(AND(LEFT(D19,3)="Yes",OR(E19&lt;F19,H19="No")),"P1 legal",IF(E19&lt;F19,"P2 gap","OK")))</f>
      </c>
      <c r="K19" s="9" t="s">
        <v>1</v>
      </c>
      <c r="L19" s="9" t="s">
        <v>1</v>
      </c>
      <c r="M19" s="9" t="s">
        <v>1</v>
      </c>
      <c r="N19" s="9" t="s">
        <v>1</v>
      </c>
      <c r="O19" s="9" t="s">
        <v>1</v>
      </c>
    </row>
    <row r="20" spans="1:15" x14ac:dyDescent="0.25">
      <c r="A20" s="9" t="s">
        <v>87</v>
      </c>
      <c r="B20" s="9" t="s">
        <v>29</v>
      </c>
      <c r="C20" s="9" t="s">
        <v>88</v>
      </c>
      <c r="D20" s="9" t="s">
        <v>89</v>
      </c>
      <c r="E20" s="9" t="s">
        <v>1</v>
      </c>
      <c r="F20" s="9">
        <v>3</v>
      </c>
      <c r="G20" s="9" t="s">
        <v>1</v>
      </c>
      <c r="H20" s="9" t="s">
        <v>1</v>
      </c>
      <c r="I20" s="9">
        <f>IF(E20="","",IF(E20&lt;3,"Yes","No"))</f>
      </c>
      <c r="J20" s="9">
        <f>IF(E20="","",IF(AND(LEFT(D20,3)="Yes",OR(E20&lt;F20,H20="No")),"P1 legal",IF(E20&lt;F20,"P2 gap","OK")))</f>
      </c>
      <c r="K20" s="9" t="s">
        <v>1</v>
      </c>
      <c r="L20" s="9" t="s">
        <v>1</v>
      </c>
      <c r="M20" s="9" t="s">
        <v>1</v>
      </c>
      <c r="N20" s="9" t="s">
        <v>1</v>
      </c>
      <c r="O20" s="9" t="s">
        <v>1</v>
      </c>
    </row>
    <row r="21" spans="1:15" x14ac:dyDescent="0.25">
      <c r="A21" s="9" t="s">
        <v>90</v>
      </c>
      <c r="B21" s="9" t="s">
        <v>29</v>
      </c>
      <c r="C21" s="9" t="s">
        <v>91</v>
      </c>
      <c r="D21" s="9" t="s">
        <v>54</v>
      </c>
      <c r="E21" s="9" t="s">
        <v>1</v>
      </c>
      <c r="F21" s="9">
        <v>3</v>
      </c>
      <c r="G21" s="9" t="s">
        <v>1</v>
      </c>
      <c r="H21" s="9" t="s">
        <v>1</v>
      </c>
      <c r="I21" s="9">
        <f>IF(E21="","",IF(E21&lt;3,"Yes","No"))</f>
      </c>
      <c r="J21" s="9">
        <f>IF(E21="","",IF(AND(LEFT(D21,3)="Yes",OR(E21&lt;F21,H21="No")),"P1 legal",IF(E21&lt;F21,"P2 gap","OK")))</f>
      </c>
      <c r="K21" s="9" t="s">
        <v>1</v>
      </c>
      <c r="L21" s="9" t="s">
        <v>1</v>
      </c>
      <c r="M21" s="9" t="s">
        <v>1</v>
      </c>
      <c r="N21" s="9" t="s">
        <v>1</v>
      </c>
      <c r="O21" s="9" t="s">
        <v>1</v>
      </c>
    </row>
    <row r="22" spans="1:15" x14ac:dyDescent="0.25">
      <c r="A22" s="9" t="s">
        <v>92</v>
      </c>
      <c r="B22" s="9" t="s">
        <v>29</v>
      </c>
      <c r="C22" s="9" t="s">
        <v>93</v>
      </c>
      <c r="D22" s="9" t="s">
        <v>94</v>
      </c>
      <c r="E22" s="9" t="s">
        <v>1</v>
      </c>
      <c r="F22" s="9">
        <v>4</v>
      </c>
      <c r="G22" s="9" t="s">
        <v>1</v>
      </c>
      <c r="H22" s="9" t="s">
        <v>1</v>
      </c>
      <c r="I22" s="9">
        <f>IF(E22="","",IF(E22&lt;3,"Yes","No"))</f>
      </c>
      <c r="J22" s="9">
        <f>IF(E22="","",IF(AND(LEFT(D22,3)="Yes",OR(E22&lt;F22,H22="No")),"P1 legal",IF(E22&lt;F22,"P2 gap","OK")))</f>
      </c>
      <c r="K22" s="9" t="s">
        <v>1</v>
      </c>
      <c r="L22" s="9" t="s">
        <v>1</v>
      </c>
      <c r="M22" s="9" t="s">
        <v>1</v>
      </c>
      <c r="N22" s="9" t="s">
        <v>1</v>
      </c>
      <c r="O22" s="9" t="s">
        <v>1</v>
      </c>
    </row>
    <row r="23" spans="1:15" x14ac:dyDescent="0.25">
      <c r="A23" s="9" t="s">
        <v>95</v>
      </c>
      <c r="B23" s="9" t="s">
        <v>29</v>
      </c>
      <c r="C23" s="9" t="s">
        <v>96</v>
      </c>
      <c r="D23" s="9" t="s">
        <v>97</v>
      </c>
      <c r="E23" s="9" t="s">
        <v>1</v>
      </c>
      <c r="F23" s="9">
        <v>3</v>
      </c>
      <c r="G23" s="9" t="s">
        <v>1</v>
      </c>
      <c r="H23" s="9" t="s">
        <v>1</v>
      </c>
      <c r="I23" s="9">
        <f>IF(E23="","",IF(E23&lt;3,"Yes","No"))</f>
      </c>
      <c r="J23" s="9">
        <f>IF(E23="","",IF(AND(LEFT(D23,3)="Yes",OR(E23&lt;F23,H23="No")),"P1 legal",IF(E23&lt;F23,"P2 gap","OK")))</f>
      </c>
      <c r="K23" s="9" t="s">
        <v>1</v>
      </c>
      <c r="L23" s="9" t="s">
        <v>1</v>
      </c>
      <c r="M23" s="9" t="s">
        <v>1</v>
      </c>
      <c r="N23" s="9" t="s">
        <v>1</v>
      </c>
      <c r="O23" s="9" t="s">
        <v>1</v>
      </c>
    </row>
    <row r="24" spans="1:15" x14ac:dyDescent="0.25">
      <c r="A24" s="9" t="s">
        <v>98</v>
      </c>
      <c r="B24" s="9" t="s">
        <v>29</v>
      </c>
      <c r="C24" s="9" t="s">
        <v>99</v>
      </c>
      <c r="D24" s="9" t="s">
        <v>100</v>
      </c>
      <c r="E24" s="9" t="s">
        <v>1</v>
      </c>
      <c r="F24" s="9">
        <v>3</v>
      </c>
      <c r="G24" s="9" t="s">
        <v>1</v>
      </c>
      <c r="H24" s="9" t="s">
        <v>1</v>
      </c>
      <c r="I24" s="9">
        <f>IF(E24="","",IF(E24&lt;3,"Yes","No"))</f>
      </c>
      <c r="J24" s="9">
        <f>IF(E24="","",IF(AND(LEFT(D24,3)="Yes",OR(E24&lt;F24,H24="No")),"P1 legal",IF(E24&lt;F24,"P2 gap","OK")))</f>
      </c>
      <c r="K24" s="9" t="s">
        <v>1</v>
      </c>
      <c r="L24" s="9" t="s">
        <v>1</v>
      </c>
      <c r="M24" s="9" t="s">
        <v>1</v>
      </c>
      <c r="N24" s="9" t="s">
        <v>1</v>
      </c>
      <c r="O24" s="9" t="s">
        <v>1</v>
      </c>
    </row>
    <row r="25" spans="1:15" x14ac:dyDescent="0.25">
      <c r="A25" s="9" t="s">
        <v>101</v>
      </c>
      <c r="B25" s="9" t="s">
        <v>29</v>
      </c>
      <c r="C25" s="9" t="s">
        <v>102</v>
      </c>
      <c r="D25" s="9" t="s">
        <v>54</v>
      </c>
      <c r="E25" s="9" t="s">
        <v>1</v>
      </c>
      <c r="F25" s="9">
        <v>3</v>
      </c>
      <c r="G25" s="9" t="s">
        <v>1</v>
      </c>
      <c r="H25" s="9" t="s">
        <v>1</v>
      </c>
      <c r="I25" s="9">
        <f>IF(E25="","",IF(E25&lt;3,"Yes","No"))</f>
      </c>
      <c r="J25" s="9">
        <f>IF(E25="","",IF(AND(LEFT(D25,3)="Yes",OR(E25&lt;F25,H25="No")),"P1 legal",IF(E25&lt;F25,"P2 gap","OK")))</f>
      </c>
      <c r="K25" s="9" t="s">
        <v>1</v>
      </c>
      <c r="L25" s="9" t="s">
        <v>1</v>
      </c>
      <c r="M25" s="9" t="s">
        <v>1</v>
      </c>
      <c r="N25" s="9" t="s">
        <v>1</v>
      </c>
      <c r="O25" s="9" t="s">
        <v>1</v>
      </c>
    </row>
    <row r="26" spans="1:15" x14ac:dyDescent="0.25">
      <c r="A26" s="9" t="s">
        <v>103</v>
      </c>
      <c r="B26" s="9" t="s">
        <v>29</v>
      </c>
      <c r="C26" s="9" t="s">
        <v>104</v>
      </c>
      <c r="D26" s="9" t="s">
        <v>54</v>
      </c>
      <c r="E26" s="9" t="s">
        <v>1</v>
      </c>
      <c r="F26" s="9">
        <v>3</v>
      </c>
      <c r="G26" s="9" t="s">
        <v>1</v>
      </c>
      <c r="H26" s="9" t="s">
        <v>1</v>
      </c>
      <c r="I26" s="9">
        <f>IF(E26="","",IF(E26&lt;3,"Yes","No"))</f>
      </c>
      <c r="J26" s="9">
        <f>IF(E26="","",IF(AND(LEFT(D26,3)="Yes",OR(E26&lt;F26,H26="No")),"P1 legal",IF(E26&lt;F26,"P2 gap","OK")))</f>
      </c>
      <c r="K26" s="9" t="s">
        <v>1</v>
      </c>
      <c r="L26" s="9" t="s">
        <v>1</v>
      </c>
      <c r="M26" s="9" t="s">
        <v>1</v>
      </c>
      <c r="N26" s="9" t="s">
        <v>1</v>
      </c>
      <c r="O26" s="9" t="s">
        <v>1</v>
      </c>
    </row>
    <row r="27" spans="1:15" x14ac:dyDescent="0.25">
      <c r="A27" s="9" t="s">
        <v>105</v>
      </c>
      <c r="B27" s="9" t="s">
        <v>29</v>
      </c>
      <c r="C27" s="9" t="s">
        <v>106</v>
      </c>
      <c r="D27" s="9" t="s">
        <v>107</v>
      </c>
      <c r="E27" s="9" t="s">
        <v>1</v>
      </c>
      <c r="F27" s="9">
        <v>3</v>
      </c>
      <c r="G27" s="9" t="s">
        <v>1</v>
      </c>
      <c r="H27" s="9" t="s">
        <v>1</v>
      </c>
      <c r="I27" s="9">
        <f>IF(E27="","",IF(E27&lt;3,"Yes","No"))</f>
      </c>
      <c r="J27" s="9">
        <f>IF(E27="","",IF(AND(LEFT(D27,3)="Yes",OR(E27&lt;F27,H27="No")),"P1 legal",IF(E27&lt;F27,"P2 gap","OK")))</f>
      </c>
      <c r="K27" s="9" t="s">
        <v>1</v>
      </c>
      <c r="L27" s="9" t="s">
        <v>1</v>
      </c>
      <c r="M27" s="9" t="s">
        <v>1</v>
      </c>
      <c r="N27" s="9" t="s">
        <v>1</v>
      </c>
      <c r="O27" s="9" t="s">
        <v>1</v>
      </c>
    </row>
    <row r="28" spans="1:15" x14ac:dyDescent="0.25">
      <c r="A28" s="9" t="s">
        <v>108</v>
      </c>
      <c r="B28" s="9" t="s">
        <v>30</v>
      </c>
      <c r="C28" s="9" t="s">
        <v>109</v>
      </c>
      <c r="D28" s="9" t="s">
        <v>54</v>
      </c>
      <c r="E28" s="9" t="s">
        <v>1</v>
      </c>
      <c r="F28" s="9">
        <v>3</v>
      </c>
      <c r="G28" s="9" t="s">
        <v>1</v>
      </c>
      <c r="H28" s="9" t="s">
        <v>1</v>
      </c>
      <c r="I28" s="9">
        <f>IF(E28="","",IF(E28&lt;3,"Yes","No"))</f>
      </c>
      <c r="J28" s="9">
        <f>IF(E28="","",IF(AND(LEFT(D28,3)="Yes",OR(E28&lt;F28,H28="No")),"P1 legal",IF(E28&lt;F28,"P2 gap","OK")))</f>
      </c>
      <c r="K28" s="9" t="s">
        <v>1</v>
      </c>
      <c r="L28" s="9" t="s">
        <v>1</v>
      </c>
      <c r="M28" s="9" t="s">
        <v>1</v>
      </c>
      <c r="N28" s="9" t="s">
        <v>1</v>
      </c>
      <c r="O28" s="9" t="s">
        <v>1</v>
      </c>
    </row>
    <row r="29" spans="1:15" x14ac:dyDescent="0.25">
      <c r="A29" s="9" t="s">
        <v>110</v>
      </c>
      <c r="B29" s="9" t="s">
        <v>30</v>
      </c>
      <c r="C29" s="9" t="s">
        <v>111</v>
      </c>
      <c r="D29" s="9" t="s">
        <v>100</v>
      </c>
      <c r="E29" s="9" t="s">
        <v>1</v>
      </c>
      <c r="F29" s="9">
        <v>3</v>
      </c>
      <c r="G29" s="9" t="s">
        <v>1</v>
      </c>
      <c r="H29" s="9" t="s">
        <v>1</v>
      </c>
      <c r="I29" s="9">
        <f>IF(E29="","",IF(E29&lt;3,"Yes","No"))</f>
      </c>
      <c r="J29" s="9">
        <f>IF(E29="","",IF(AND(LEFT(D29,3)="Yes",OR(E29&lt;F29,H29="No")),"P1 legal",IF(E29&lt;F29,"P2 gap","OK")))</f>
      </c>
      <c r="K29" s="9" t="s">
        <v>1</v>
      </c>
      <c r="L29" s="9" t="s">
        <v>1</v>
      </c>
      <c r="M29" s="9" t="s">
        <v>1</v>
      </c>
      <c r="N29" s="9" t="s">
        <v>1</v>
      </c>
      <c r="O29" s="9" t="s">
        <v>1</v>
      </c>
    </row>
    <row r="30" spans="1:15" x14ac:dyDescent="0.25">
      <c r="A30" s="9" t="s">
        <v>112</v>
      </c>
      <c r="B30" s="9" t="s">
        <v>30</v>
      </c>
      <c r="C30" s="9" t="s">
        <v>113</v>
      </c>
      <c r="D30" s="9" t="s">
        <v>54</v>
      </c>
      <c r="E30" s="9" t="s">
        <v>1</v>
      </c>
      <c r="F30" s="9">
        <v>3</v>
      </c>
      <c r="G30" s="9" t="s">
        <v>1</v>
      </c>
      <c r="H30" s="9" t="s">
        <v>1</v>
      </c>
      <c r="I30" s="9">
        <f>IF(E30="","",IF(E30&lt;3,"Yes","No"))</f>
      </c>
      <c r="J30" s="9">
        <f>IF(E30="","",IF(AND(LEFT(D30,3)="Yes",OR(E30&lt;F30,H30="No")),"P1 legal",IF(E30&lt;F30,"P2 gap","OK")))</f>
      </c>
      <c r="K30" s="9" t="s">
        <v>1</v>
      </c>
      <c r="L30" s="9" t="s">
        <v>1</v>
      </c>
      <c r="M30" s="9" t="s">
        <v>1</v>
      </c>
      <c r="N30" s="9" t="s">
        <v>1</v>
      </c>
      <c r="O30" s="9" t="s">
        <v>1</v>
      </c>
    </row>
    <row r="31" spans="1:15" x14ac:dyDescent="0.25">
      <c r="A31" s="9" t="s">
        <v>114</v>
      </c>
      <c r="B31" s="9" t="s">
        <v>30</v>
      </c>
      <c r="C31" s="9" t="s">
        <v>115</v>
      </c>
      <c r="D31" s="9" t="s">
        <v>54</v>
      </c>
      <c r="E31" s="9" t="s">
        <v>1</v>
      </c>
      <c r="F31" s="9">
        <v>3</v>
      </c>
      <c r="G31" s="9" t="s">
        <v>1</v>
      </c>
      <c r="H31" s="9" t="s">
        <v>1</v>
      </c>
      <c r="I31" s="9">
        <f>IF(E31="","",IF(E31&lt;3,"Yes","No"))</f>
      </c>
      <c r="J31" s="9">
        <f>IF(E31="","",IF(AND(LEFT(D31,3)="Yes",OR(E31&lt;F31,H31="No")),"P1 legal",IF(E31&lt;F31,"P2 gap","OK")))</f>
      </c>
      <c r="K31" s="9" t="s">
        <v>1</v>
      </c>
      <c r="L31" s="9" t="s">
        <v>1</v>
      </c>
      <c r="M31" s="9" t="s">
        <v>1</v>
      </c>
      <c r="N31" s="9" t="s">
        <v>1</v>
      </c>
      <c r="O31" s="9" t="s">
        <v>1</v>
      </c>
    </row>
    <row r="32" spans="1:15" x14ac:dyDescent="0.25">
      <c r="A32" s="9" t="s">
        <v>116</v>
      </c>
      <c r="B32" s="9" t="s">
        <v>30</v>
      </c>
      <c r="C32" s="9" t="s">
        <v>117</v>
      </c>
      <c r="D32" s="9" t="s">
        <v>54</v>
      </c>
      <c r="E32" s="9" t="s">
        <v>1</v>
      </c>
      <c r="F32" s="9">
        <v>3</v>
      </c>
      <c r="G32" s="9" t="s">
        <v>1</v>
      </c>
      <c r="H32" s="9" t="s">
        <v>1</v>
      </c>
      <c r="I32" s="9">
        <f>IF(E32="","",IF(E32&lt;3,"Yes","No"))</f>
      </c>
      <c r="J32" s="9">
        <f>IF(E32="","",IF(AND(LEFT(D32,3)="Yes",OR(E32&lt;F32,H32="No")),"P1 legal",IF(E32&lt;F32,"P2 gap","OK")))</f>
      </c>
      <c r="K32" s="9" t="s">
        <v>1</v>
      </c>
      <c r="L32" s="9" t="s">
        <v>1</v>
      </c>
      <c r="M32" s="9" t="s">
        <v>1</v>
      </c>
      <c r="N32" s="9" t="s">
        <v>1</v>
      </c>
      <c r="O32" s="9" t="s">
        <v>1</v>
      </c>
    </row>
    <row r="33" spans="1:15" x14ac:dyDescent="0.25">
      <c r="A33" s="9" t="s">
        <v>118</v>
      </c>
      <c r="B33" s="9" t="s">
        <v>30</v>
      </c>
      <c r="C33" s="9" t="s">
        <v>119</v>
      </c>
      <c r="D33" s="9" t="s">
        <v>120</v>
      </c>
      <c r="E33" s="9" t="s">
        <v>1</v>
      </c>
      <c r="F33" s="9">
        <v>3</v>
      </c>
      <c r="G33" s="9" t="s">
        <v>1</v>
      </c>
      <c r="H33" s="9" t="s">
        <v>1</v>
      </c>
      <c r="I33" s="9">
        <f>IF(E33="","",IF(E33&lt;3,"Yes","No"))</f>
      </c>
      <c r="J33" s="9">
        <f>IF(E33="","",IF(AND(LEFT(D33,3)="Yes",OR(E33&lt;F33,H33="No")),"P1 legal",IF(E33&lt;F33,"P2 gap","OK")))</f>
      </c>
      <c r="K33" s="9" t="s">
        <v>1</v>
      </c>
      <c r="L33" s="9" t="s">
        <v>1</v>
      </c>
      <c r="M33" s="9" t="s">
        <v>1</v>
      </c>
      <c r="N33" s="9" t="s">
        <v>1</v>
      </c>
      <c r="O33" s="9" t="s">
        <v>1</v>
      </c>
    </row>
    <row r="34" spans="1:15" x14ac:dyDescent="0.25">
      <c r="A34" s="9" t="s">
        <v>121</v>
      </c>
      <c r="B34" s="9" t="s">
        <v>30</v>
      </c>
      <c r="C34" s="9" t="s">
        <v>122</v>
      </c>
      <c r="D34" s="9" t="s">
        <v>54</v>
      </c>
      <c r="E34" s="9" t="s">
        <v>1</v>
      </c>
      <c r="F34" s="9">
        <v>3</v>
      </c>
      <c r="G34" s="9" t="s">
        <v>1</v>
      </c>
      <c r="H34" s="9" t="s">
        <v>1</v>
      </c>
      <c r="I34" s="9">
        <f>IF(E34="","",IF(E34&lt;3,"Yes","No"))</f>
      </c>
      <c r="J34" s="9">
        <f>IF(E34="","",IF(AND(LEFT(D34,3)="Yes",OR(E34&lt;F34,H34="No")),"P1 legal",IF(E34&lt;F34,"P2 gap","OK")))</f>
      </c>
      <c r="K34" s="9" t="s">
        <v>1</v>
      </c>
      <c r="L34" s="9" t="s">
        <v>1</v>
      </c>
      <c r="M34" s="9" t="s">
        <v>1</v>
      </c>
      <c r="N34" s="9" t="s">
        <v>1</v>
      </c>
      <c r="O34" s="9" t="s">
        <v>1</v>
      </c>
    </row>
    <row r="35" spans="1:15" x14ac:dyDescent="0.25">
      <c r="A35" s="9" t="s">
        <v>123</v>
      </c>
      <c r="B35" s="9" t="s">
        <v>30</v>
      </c>
      <c r="C35" s="9" t="s">
        <v>124</v>
      </c>
      <c r="D35" s="9" t="s">
        <v>120</v>
      </c>
      <c r="E35" s="9" t="s">
        <v>1</v>
      </c>
      <c r="F35" s="9">
        <v>3</v>
      </c>
      <c r="G35" s="9" t="s">
        <v>1</v>
      </c>
      <c r="H35" s="9" t="s">
        <v>1</v>
      </c>
      <c r="I35" s="9">
        <f>IF(E35="","",IF(E35&lt;3,"Yes","No"))</f>
      </c>
      <c r="J35" s="9">
        <f>IF(E35="","",IF(AND(LEFT(D35,3)="Yes",OR(E35&lt;F35,H35="No")),"P1 legal",IF(E35&lt;F35,"P2 gap","OK")))</f>
      </c>
      <c r="K35" s="9" t="s">
        <v>1</v>
      </c>
      <c r="L35" s="9" t="s">
        <v>1</v>
      </c>
      <c r="M35" s="9" t="s">
        <v>1</v>
      </c>
      <c r="N35" s="9" t="s">
        <v>1</v>
      </c>
      <c r="O35" s="9" t="s">
        <v>1</v>
      </c>
    </row>
    <row r="36" spans="1:15" x14ac:dyDescent="0.25">
      <c r="A36" s="9" t="s">
        <v>125</v>
      </c>
      <c r="B36" s="9" t="s">
        <v>31</v>
      </c>
      <c r="C36" s="9" t="s">
        <v>126</v>
      </c>
      <c r="D36" s="9" t="s">
        <v>54</v>
      </c>
      <c r="E36" s="9" t="s">
        <v>1</v>
      </c>
      <c r="F36" s="9">
        <v>3</v>
      </c>
      <c r="G36" s="9" t="s">
        <v>1</v>
      </c>
      <c r="H36" s="9" t="s">
        <v>1</v>
      </c>
      <c r="I36" s="9">
        <f>IF(E36="","",IF(E36&lt;3,"Yes","No"))</f>
      </c>
      <c r="J36" s="9">
        <f>IF(E36="","",IF(AND(LEFT(D36,3)="Yes",OR(E36&lt;F36,H36="No")),"P1 legal",IF(E36&lt;F36,"P2 gap","OK")))</f>
      </c>
      <c r="K36" s="9" t="s">
        <v>1</v>
      </c>
      <c r="L36" s="9" t="s">
        <v>1</v>
      </c>
      <c r="M36" s="9" t="s">
        <v>1</v>
      </c>
      <c r="N36" s="9" t="s">
        <v>1</v>
      </c>
      <c r="O36" s="9" t="s">
        <v>1</v>
      </c>
    </row>
    <row r="37" spans="1:15" x14ac:dyDescent="0.25">
      <c r="A37" s="9" t="s">
        <v>127</v>
      </c>
      <c r="B37" s="9" t="s">
        <v>31</v>
      </c>
      <c r="C37" s="9" t="s">
        <v>128</v>
      </c>
      <c r="D37" s="9" t="s">
        <v>129</v>
      </c>
      <c r="E37" s="9" t="s">
        <v>1</v>
      </c>
      <c r="F37" s="9">
        <v>3</v>
      </c>
      <c r="G37" s="9" t="s">
        <v>1</v>
      </c>
      <c r="H37" s="9" t="s">
        <v>1</v>
      </c>
      <c r="I37" s="9">
        <f>IF(E37="","",IF(E37&lt;3,"Yes","No"))</f>
      </c>
      <c r="J37" s="9">
        <f>IF(E37="","",IF(AND(LEFT(D37,3)="Yes",OR(E37&lt;F37,H37="No")),"P1 legal",IF(E37&lt;F37,"P2 gap","OK")))</f>
      </c>
      <c r="K37" s="9" t="s">
        <v>1</v>
      </c>
      <c r="L37" s="9" t="s">
        <v>1</v>
      </c>
      <c r="M37" s="9" t="s">
        <v>1</v>
      </c>
      <c r="N37" s="9" t="s">
        <v>1</v>
      </c>
      <c r="O37" s="9" t="s">
        <v>1</v>
      </c>
    </row>
    <row r="38" spans="1:15" x14ac:dyDescent="0.25">
      <c r="A38" s="9" t="s">
        <v>130</v>
      </c>
      <c r="B38" s="9" t="s">
        <v>31</v>
      </c>
      <c r="C38" s="9" t="s">
        <v>131</v>
      </c>
      <c r="D38" s="9" t="s">
        <v>54</v>
      </c>
      <c r="E38" s="9" t="s">
        <v>1</v>
      </c>
      <c r="F38" s="9">
        <v>3</v>
      </c>
      <c r="G38" s="9" t="s">
        <v>1</v>
      </c>
      <c r="H38" s="9" t="s">
        <v>1</v>
      </c>
      <c r="I38" s="9">
        <f>IF(E38="","",IF(E38&lt;3,"Yes","No"))</f>
      </c>
      <c r="J38" s="9">
        <f>IF(E38="","",IF(AND(LEFT(D38,3)="Yes",OR(E38&lt;F38,H38="No")),"P1 legal",IF(E38&lt;F38,"P2 gap","OK")))</f>
      </c>
      <c r="K38" s="9" t="s">
        <v>1</v>
      </c>
      <c r="L38" s="9" t="s">
        <v>1</v>
      </c>
      <c r="M38" s="9" t="s">
        <v>1</v>
      </c>
      <c r="N38" s="9" t="s">
        <v>1</v>
      </c>
      <c r="O38" s="9" t="s">
        <v>1</v>
      </c>
    </row>
    <row r="39" spans="1:15" x14ac:dyDescent="0.25">
      <c r="A39" s="9" t="s">
        <v>132</v>
      </c>
      <c r="B39" s="9" t="s">
        <v>31</v>
      </c>
      <c r="C39" s="9" t="s">
        <v>133</v>
      </c>
      <c r="D39" s="9" t="s">
        <v>134</v>
      </c>
      <c r="E39" s="9" t="s">
        <v>1</v>
      </c>
      <c r="F39" s="9">
        <v>3</v>
      </c>
      <c r="G39" s="9" t="s">
        <v>1</v>
      </c>
      <c r="H39" s="9" t="s">
        <v>1</v>
      </c>
      <c r="I39" s="9">
        <f>IF(E39="","",IF(E39&lt;3,"Yes","No"))</f>
      </c>
      <c r="J39" s="9">
        <f>IF(E39="","",IF(AND(LEFT(D39,3)="Yes",OR(E39&lt;F39,H39="No")),"P1 legal",IF(E39&lt;F39,"P2 gap","OK")))</f>
      </c>
      <c r="K39" s="9" t="s">
        <v>1</v>
      </c>
      <c r="L39" s="9" t="s">
        <v>1</v>
      </c>
      <c r="M39" s="9" t="s">
        <v>1</v>
      </c>
      <c r="N39" s="9" t="s">
        <v>1</v>
      </c>
      <c r="O39" s="9" t="s">
        <v>1</v>
      </c>
    </row>
    <row r="40" spans="1:15" x14ac:dyDescent="0.25">
      <c r="A40" s="9" t="s">
        <v>135</v>
      </c>
      <c r="B40" s="9" t="s">
        <v>31</v>
      </c>
      <c r="C40" s="9" t="s">
        <v>136</v>
      </c>
      <c r="D40" s="9" t="s">
        <v>54</v>
      </c>
      <c r="E40" s="9" t="s">
        <v>1</v>
      </c>
      <c r="F40" s="9">
        <v>3</v>
      </c>
      <c r="G40" s="9" t="s">
        <v>1</v>
      </c>
      <c r="H40" s="9" t="s">
        <v>1</v>
      </c>
      <c r="I40" s="9">
        <f>IF(E40="","",IF(E40&lt;3,"Yes","No"))</f>
      </c>
      <c r="J40" s="9">
        <f>IF(E40="","",IF(AND(LEFT(D40,3)="Yes",OR(E40&lt;F40,H40="No")),"P1 legal",IF(E40&lt;F40,"P2 gap","OK")))</f>
      </c>
      <c r="K40" s="9" t="s">
        <v>1</v>
      </c>
      <c r="L40" s="9" t="s">
        <v>1</v>
      </c>
      <c r="M40" s="9" t="s">
        <v>1</v>
      </c>
      <c r="N40" s="9" t="s">
        <v>1</v>
      </c>
      <c r="O40" s="9" t="s">
        <v>1</v>
      </c>
    </row>
    <row r="41" spans="1:15" x14ac:dyDescent="0.25">
      <c r="A41" s="9" t="s">
        <v>137</v>
      </c>
      <c r="B41" s="9" t="s">
        <v>31</v>
      </c>
      <c r="C41" s="9" t="s">
        <v>138</v>
      </c>
      <c r="D41" s="9" t="s">
        <v>54</v>
      </c>
      <c r="E41" s="9" t="s">
        <v>1</v>
      </c>
      <c r="F41" s="9">
        <v>3</v>
      </c>
      <c r="G41" s="9" t="s">
        <v>1</v>
      </c>
      <c r="H41" s="9" t="s">
        <v>1</v>
      </c>
      <c r="I41" s="9">
        <f>IF(E41="","",IF(E41&lt;3,"Yes","No"))</f>
      </c>
      <c r="J41" s="9">
        <f>IF(E41="","",IF(AND(LEFT(D41,3)="Yes",OR(E41&lt;F41,H41="No")),"P1 legal",IF(E41&lt;F41,"P2 gap","OK")))</f>
      </c>
      <c r="K41" s="9" t="s">
        <v>1</v>
      </c>
      <c r="L41" s="9" t="s">
        <v>1</v>
      </c>
      <c r="M41" s="9" t="s">
        <v>1</v>
      </c>
      <c r="N41" s="9" t="s">
        <v>1</v>
      </c>
      <c r="O41" s="9" t="s">
        <v>1</v>
      </c>
    </row>
    <row r="42" spans="1:15" x14ac:dyDescent="0.25">
      <c r="A42" s="9" t="s">
        <v>139</v>
      </c>
      <c r="B42" s="9" t="s">
        <v>31</v>
      </c>
      <c r="C42" s="9" t="s">
        <v>140</v>
      </c>
      <c r="D42" s="9" t="s">
        <v>54</v>
      </c>
      <c r="E42" s="9" t="s">
        <v>1</v>
      </c>
      <c r="F42" s="9">
        <v>3</v>
      </c>
      <c r="G42" s="9" t="s">
        <v>1</v>
      </c>
      <c r="H42" s="9" t="s">
        <v>1</v>
      </c>
      <c r="I42" s="9">
        <f>IF(E42="","",IF(E42&lt;3,"Yes","No"))</f>
      </c>
      <c r="J42" s="9">
        <f>IF(E42="","",IF(AND(LEFT(D42,3)="Yes",OR(E42&lt;F42,H42="No")),"P1 legal",IF(E42&lt;F42,"P2 gap","OK")))</f>
      </c>
      <c r="K42" s="9" t="s">
        <v>1</v>
      </c>
      <c r="L42" s="9" t="s">
        <v>1</v>
      </c>
      <c r="M42" s="9" t="s">
        <v>1</v>
      </c>
      <c r="N42" s="9" t="s">
        <v>1</v>
      </c>
      <c r="O42" s="9" t="s">
        <v>1</v>
      </c>
    </row>
    <row r="43" spans="1:15" x14ac:dyDescent="0.25">
      <c r="A43" s="9" t="s">
        <v>141</v>
      </c>
      <c r="B43" s="9" t="s">
        <v>31</v>
      </c>
      <c r="C43" s="9" t="s">
        <v>142</v>
      </c>
      <c r="D43" s="9" t="s">
        <v>54</v>
      </c>
      <c r="E43" s="9" t="s">
        <v>1</v>
      </c>
      <c r="F43" s="9">
        <v>3</v>
      </c>
      <c r="G43" s="9" t="s">
        <v>1</v>
      </c>
      <c r="H43" s="9" t="s">
        <v>1</v>
      </c>
      <c r="I43" s="9">
        <f>IF(E43="","",IF(E43&lt;3,"Yes","No"))</f>
      </c>
      <c r="J43" s="9">
        <f>IF(E43="","",IF(AND(LEFT(D43,3)="Yes",OR(E43&lt;F43,H43="No")),"P1 legal",IF(E43&lt;F43,"P2 gap","OK")))</f>
      </c>
      <c r="K43" s="9" t="s">
        <v>1</v>
      </c>
      <c r="L43" s="9" t="s">
        <v>1</v>
      </c>
      <c r="M43" s="9" t="s">
        <v>1</v>
      </c>
      <c r="N43" s="9" t="s">
        <v>1</v>
      </c>
      <c r="O43" s="9" t="s">
        <v>1</v>
      </c>
    </row>
    <row r="44" spans="1:15" x14ac:dyDescent="0.25">
      <c r="A44" s="9" t="s">
        <v>143</v>
      </c>
      <c r="B44" s="9" t="s">
        <v>31</v>
      </c>
      <c r="C44" s="9" t="s">
        <v>144</v>
      </c>
      <c r="D44" s="9" t="s">
        <v>145</v>
      </c>
      <c r="E44" s="9" t="s">
        <v>1</v>
      </c>
      <c r="F44" s="9">
        <v>3</v>
      </c>
      <c r="G44" s="9" t="s">
        <v>1</v>
      </c>
      <c r="H44" s="9" t="s">
        <v>1</v>
      </c>
      <c r="I44" s="9">
        <f>IF(E44="","",IF(E44&lt;3,"Yes","No"))</f>
      </c>
      <c r="J44" s="9">
        <f>IF(E44="","",IF(AND(LEFT(D44,3)="Yes",OR(E44&lt;F44,H44="No")),"P1 legal",IF(E44&lt;F44,"P2 gap","OK")))</f>
      </c>
      <c r="K44" s="9" t="s">
        <v>1</v>
      </c>
      <c r="L44" s="9" t="s">
        <v>1</v>
      </c>
      <c r="M44" s="9" t="s">
        <v>1</v>
      </c>
      <c r="N44" s="9" t="s">
        <v>1</v>
      </c>
      <c r="O44" s="9" t="s">
        <v>1</v>
      </c>
    </row>
    <row r="45" spans="1:15" x14ac:dyDescent="0.25">
      <c r="A45" s="9" t="s">
        <v>146</v>
      </c>
      <c r="B45" s="9" t="s">
        <v>32</v>
      </c>
      <c r="C45" s="9" t="s">
        <v>147</v>
      </c>
      <c r="D45" s="9" t="s">
        <v>54</v>
      </c>
      <c r="E45" s="9" t="s">
        <v>1</v>
      </c>
      <c r="F45" s="9">
        <v>3</v>
      </c>
      <c r="G45" s="9" t="s">
        <v>1</v>
      </c>
      <c r="H45" s="9" t="s">
        <v>1</v>
      </c>
      <c r="I45" s="9">
        <f>IF(E45="","",IF(E45&lt;3,"Yes","No"))</f>
      </c>
      <c r="J45" s="9">
        <f>IF(E45="","",IF(AND(LEFT(D45,3)="Yes",OR(E45&lt;F45,H45="No")),"P1 legal",IF(E45&lt;F45,"P2 gap","OK")))</f>
      </c>
      <c r="K45" s="9" t="s">
        <v>1</v>
      </c>
      <c r="L45" s="9" t="s">
        <v>1</v>
      </c>
      <c r="M45" s="9" t="s">
        <v>1</v>
      </c>
      <c r="N45" s="9" t="s">
        <v>1</v>
      </c>
      <c r="O45" s="9" t="s">
        <v>1</v>
      </c>
    </row>
    <row r="46" spans="1:15" x14ac:dyDescent="0.25">
      <c r="A46" s="9" t="s">
        <v>148</v>
      </c>
      <c r="B46" s="9" t="s">
        <v>32</v>
      </c>
      <c r="C46" s="9" t="s">
        <v>149</v>
      </c>
      <c r="D46" s="9" t="s">
        <v>54</v>
      </c>
      <c r="E46" s="9" t="s">
        <v>1</v>
      </c>
      <c r="F46" s="9">
        <v>3</v>
      </c>
      <c r="G46" s="9" t="s">
        <v>1</v>
      </c>
      <c r="H46" s="9" t="s">
        <v>1</v>
      </c>
      <c r="I46" s="9">
        <f>IF(E46="","",IF(E46&lt;3,"Yes","No"))</f>
      </c>
      <c r="J46" s="9">
        <f>IF(E46="","",IF(AND(LEFT(D46,3)="Yes",OR(E46&lt;F46,H46="No")),"P1 legal",IF(E46&lt;F46,"P2 gap","OK")))</f>
      </c>
      <c r="K46" s="9" t="s">
        <v>1</v>
      </c>
      <c r="L46" s="9" t="s">
        <v>1</v>
      </c>
      <c r="M46" s="9" t="s">
        <v>1</v>
      </c>
      <c r="N46" s="9" t="s">
        <v>1</v>
      </c>
      <c r="O46" s="9" t="s">
        <v>1</v>
      </c>
    </row>
    <row r="47" spans="1:15" x14ac:dyDescent="0.25">
      <c r="A47" s="9" t="s">
        <v>150</v>
      </c>
      <c r="B47" s="9" t="s">
        <v>32</v>
      </c>
      <c r="C47" s="9" t="s">
        <v>151</v>
      </c>
      <c r="D47" s="9" t="s">
        <v>54</v>
      </c>
      <c r="E47" s="9" t="s">
        <v>1</v>
      </c>
      <c r="F47" s="9">
        <v>3</v>
      </c>
      <c r="G47" s="9" t="s">
        <v>1</v>
      </c>
      <c r="H47" s="9" t="s">
        <v>1</v>
      </c>
      <c r="I47" s="9">
        <f>IF(E47="","",IF(E47&lt;3,"Yes","No"))</f>
      </c>
      <c r="J47" s="9">
        <f>IF(E47="","",IF(AND(LEFT(D47,3)="Yes",OR(E47&lt;F47,H47="No")),"P1 legal",IF(E47&lt;F47,"P2 gap","OK")))</f>
      </c>
      <c r="K47" s="9" t="s">
        <v>1</v>
      </c>
      <c r="L47" s="9" t="s">
        <v>1</v>
      </c>
      <c r="M47" s="9" t="s">
        <v>1</v>
      </c>
      <c r="N47" s="9" t="s">
        <v>1</v>
      </c>
      <c r="O47" s="9" t="s">
        <v>1</v>
      </c>
    </row>
    <row r="48" spans="1:15" x14ac:dyDescent="0.25">
      <c r="A48" s="9" t="s">
        <v>152</v>
      </c>
      <c r="B48" s="9" t="s">
        <v>32</v>
      </c>
      <c r="C48" s="9" t="s">
        <v>153</v>
      </c>
      <c r="D48" s="9" t="s">
        <v>154</v>
      </c>
      <c r="E48" s="9" t="s">
        <v>1</v>
      </c>
      <c r="F48" s="9">
        <v>3</v>
      </c>
      <c r="G48" s="9" t="s">
        <v>1</v>
      </c>
      <c r="H48" s="9" t="s">
        <v>1</v>
      </c>
      <c r="I48" s="9">
        <f>IF(E48="","",IF(E48&lt;3,"Yes","No"))</f>
      </c>
      <c r="J48" s="9">
        <f>IF(E48="","",IF(AND(LEFT(D48,3)="Yes",OR(E48&lt;F48,H48="No")),"P1 legal",IF(E48&lt;F48,"P2 gap","OK")))</f>
      </c>
      <c r="K48" s="9" t="s">
        <v>1</v>
      </c>
      <c r="L48" s="9" t="s">
        <v>1</v>
      </c>
      <c r="M48" s="9" t="s">
        <v>1</v>
      </c>
      <c r="N48" s="9" t="s">
        <v>1</v>
      </c>
      <c r="O48" s="9" t="s">
        <v>1</v>
      </c>
    </row>
    <row r="49" spans="1:15" x14ac:dyDescent="0.25">
      <c r="A49" s="9" t="s">
        <v>155</v>
      </c>
      <c r="B49" s="9" t="s">
        <v>32</v>
      </c>
      <c r="C49" s="9" t="s">
        <v>156</v>
      </c>
      <c r="D49" s="9" t="s">
        <v>54</v>
      </c>
      <c r="E49" s="9" t="s">
        <v>1</v>
      </c>
      <c r="F49" s="9">
        <v>3</v>
      </c>
      <c r="G49" s="9" t="s">
        <v>1</v>
      </c>
      <c r="H49" s="9" t="s">
        <v>1</v>
      </c>
      <c r="I49" s="9">
        <f>IF(E49="","",IF(E49&lt;3,"Yes","No"))</f>
      </c>
      <c r="J49" s="9">
        <f>IF(E49="","",IF(AND(LEFT(D49,3)="Yes",OR(E49&lt;F49,H49="No")),"P1 legal",IF(E49&lt;F49,"P2 gap","OK")))</f>
      </c>
      <c r="K49" s="9" t="s">
        <v>1</v>
      </c>
      <c r="L49" s="9" t="s">
        <v>1</v>
      </c>
      <c r="M49" s="9" t="s">
        <v>1</v>
      </c>
      <c r="N49" s="9" t="s">
        <v>1</v>
      </c>
      <c r="O49" s="9" t="s">
        <v>1</v>
      </c>
    </row>
  </sheetData>
  <autoFilter ref="A1:O1"/>
  <conditionalFormatting sqref="E2:E49">
    <cfRule type="cellIs" dxfId="3" priority="1" operator="lessThan">
      <formula>2</formula>
    </cfRule>
    <cfRule type="cellIs" dxfId="4" priority="2" operator="between">
      <formula>2</formula>
      <formula>3</formula>
    </cfRule>
    <cfRule type="cellIs" dxfId="5" priority="3" operator="greaterThanOrEqual">
      <formula>3</formula>
    </cfRule>
  </conditionalFormatting>
  <dataValidations count="4">
    <dataValidation type="whole" allowBlank="1" showErrorMessage="1" error="Enter a maturity score from 0 to 5." sqref="E10:E49">
      <formula1>0</formula1>
      <formula2>5</formula2>
    </dataValidation>
    <dataValidation type="whole" allowBlank="1" showErrorMessage="1" error="Enter a maturity score from 0 to 5." sqref="E2:E49">
      <formula1>0</formula1>
      <formula2>5</formula2>
    </dataValidation>
    <dataValidation type="list" allowBlank="1" sqref="H10:H49">
      <formula1>"Yes,No,N/A"</formula1>
    </dataValidation>
    <dataValidation type="list" allowBlank="1" sqref="H2:H49">
      <formula1>"Yes,No,N/A"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A1B9A"/>
  </sheetPr>
  <dimension ref="A1:Q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28" customWidth="1"/>
    <col min="5" max="5" width="23" customWidth="1"/>
    <col min="6" max="6" width="12" customWidth="1"/>
    <col min="7" max="7" width="18" customWidth="1"/>
    <col min="8" max="8" width="22" customWidth="1"/>
    <col min="9" max="9" width="14" customWidth="1"/>
    <col min="10" max="10" width="17" customWidth="1"/>
    <col min="11" max="11" width="12" customWidth="1"/>
    <col min="12" max="12" width="14" customWidth="1"/>
    <col min="13" max="14" width="12" customWidth="1"/>
    <col min="15" max="15" width="18" customWidth="1"/>
    <col min="16" max="16" width="19" customWidth="1"/>
    <col min="17" max="17" width="12" customWidth="1"/>
  </cols>
  <sheetData>
    <row r="1" ht="34" customHeight="1" spans="1:17" x14ac:dyDescent="0.25">
      <c r="A1" s="6" t="s">
        <v>157</v>
      </c>
      <c r="B1" s="6" t="s">
        <v>158</v>
      </c>
      <c r="C1" s="6" t="s">
        <v>159</v>
      </c>
      <c r="D1" s="6" t="s">
        <v>160</v>
      </c>
      <c r="E1" s="6" t="s">
        <v>161</v>
      </c>
      <c r="F1" s="6" t="s">
        <v>46</v>
      </c>
      <c r="G1" s="6" t="s">
        <v>162</v>
      </c>
      <c r="H1" s="6" t="s">
        <v>163</v>
      </c>
      <c r="I1" s="6" t="s">
        <v>164</v>
      </c>
      <c r="J1" s="6" t="s">
        <v>165</v>
      </c>
      <c r="K1" s="6" t="s">
        <v>166</v>
      </c>
      <c r="L1" s="6" t="s">
        <v>167</v>
      </c>
      <c r="M1" s="6" t="s">
        <v>168</v>
      </c>
      <c r="N1" s="6" t="s">
        <v>169</v>
      </c>
      <c r="O1" s="6" t="s">
        <v>170</v>
      </c>
      <c r="P1" s="6" t="s">
        <v>171</v>
      </c>
      <c r="Q1" s="6" t="s">
        <v>172</v>
      </c>
    </row>
    <row r="2" spans="1:17" x14ac:dyDescent="0.25">
      <c r="A2" s="9" t="s">
        <v>173</v>
      </c>
      <c r="B2" s="9" t="s">
        <v>174</v>
      </c>
      <c r="C2" s="9" t="s">
        <v>175</v>
      </c>
      <c r="D2" s="9" t="s">
        <v>176</v>
      </c>
      <c r="E2" s="9" t="s">
        <v>177</v>
      </c>
      <c r="F2" s="9" t="s">
        <v>178</v>
      </c>
      <c r="G2" s="9" t="s">
        <v>179</v>
      </c>
      <c r="H2" s="9" t="s">
        <v>179</v>
      </c>
      <c r="I2" s="9" t="s">
        <v>180</v>
      </c>
      <c r="J2" s="9" t="s">
        <v>181</v>
      </c>
      <c r="K2" s="9" t="s">
        <v>181</v>
      </c>
      <c r="L2" s="9" t="s">
        <v>181</v>
      </c>
      <c r="M2" s="9" t="s">
        <v>182</v>
      </c>
      <c r="N2" s="9" t="s">
        <v>183</v>
      </c>
      <c r="O2" s="9" t="s">
        <v>184</v>
      </c>
      <c r="P2" s="9" t="s">
        <v>185</v>
      </c>
      <c r="Q2" s="9" t="s">
        <v>186</v>
      </c>
    </row>
    <row r="3" spans="1:17" x14ac:dyDescent="0.25">
      <c r="A3" s="9" t="s">
        <v>187</v>
      </c>
      <c r="B3" s="9" t="s">
        <v>188</v>
      </c>
      <c r="C3" s="9" t="s">
        <v>189</v>
      </c>
      <c r="D3" s="9" t="s">
        <v>176</v>
      </c>
      <c r="E3" s="9" t="s">
        <v>177</v>
      </c>
      <c r="F3" s="9" t="s">
        <v>190</v>
      </c>
      <c r="G3" s="9" t="s">
        <v>179</v>
      </c>
      <c r="H3" s="9" t="s">
        <v>179</v>
      </c>
      <c r="I3" s="9" t="s">
        <v>174</v>
      </c>
      <c r="J3" s="9" t="s">
        <v>181</v>
      </c>
      <c r="K3" s="9" t="s">
        <v>181</v>
      </c>
      <c r="L3" s="9" t="s">
        <v>181</v>
      </c>
      <c r="M3" s="9" t="s">
        <v>182</v>
      </c>
      <c r="N3" s="9" t="s">
        <v>183</v>
      </c>
      <c r="O3" s="9" t="s">
        <v>184</v>
      </c>
      <c r="P3" s="9" t="s">
        <v>185</v>
      </c>
      <c r="Q3" s="9" t="s">
        <v>191</v>
      </c>
    </row>
    <row r="4" spans="1:17" x14ac:dyDescent="0.25">
      <c r="A4" s="9" t="s">
        <v>192</v>
      </c>
      <c r="B4" s="9" t="s">
        <v>193</v>
      </c>
      <c r="C4" s="9" t="s">
        <v>194</v>
      </c>
      <c r="D4" s="9" t="s">
        <v>195</v>
      </c>
      <c r="E4" s="9" t="s">
        <v>196</v>
      </c>
      <c r="F4" s="9" t="s">
        <v>197</v>
      </c>
      <c r="G4" s="9" t="s">
        <v>198</v>
      </c>
      <c r="H4" s="9" t="s">
        <v>198</v>
      </c>
      <c r="I4" s="9" t="s">
        <v>174</v>
      </c>
      <c r="J4" s="9" t="s">
        <v>181</v>
      </c>
      <c r="K4" s="9" t="s">
        <v>181</v>
      </c>
      <c r="L4" s="9" t="s">
        <v>199</v>
      </c>
      <c r="M4" s="9" t="s">
        <v>200</v>
      </c>
      <c r="N4" s="9" t="s">
        <v>201</v>
      </c>
      <c r="O4" s="9" t="s">
        <v>202</v>
      </c>
      <c r="P4" s="9" t="s">
        <v>202</v>
      </c>
      <c r="Q4" s="9" t="s">
        <v>203</v>
      </c>
    </row>
    <row r="5" spans="1:17" x14ac:dyDescent="0.25">
      <c r="A5" s="9" t="s">
        <v>204</v>
      </c>
      <c r="B5" s="9" t="s">
        <v>205</v>
      </c>
      <c r="C5" s="9" t="s">
        <v>175</v>
      </c>
      <c r="D5" s="9" t="s">
        <v>206</v>
      </c>
      <c r="E5" s="9" t="s">
        <v>196</v>
      </c>
      <c r="F5" s="9" t="s">
        <v>207</v>
      </c>
      <c r="G5" s="9" t="s">
        <v>179</v>
      </c>
      <c r="H5" s="9" t="s">
        <v>179</v>
      </c>
      <c r="I5" s="9" t="s">
        <v>208</v>
      </c>
      <c r="J5" s="9" t="s">
        <v>199</v>
      </c>
      <c r="K5" s="9" t="s">
        <v>181</v>
      </c>
      <c r="L5" s="9" t="s">
        <v>181</v>
      </c>
      <c r="M5" s="9" t="s">
        <v>200</v>
      </c>
      <c r="N5" s="9" t="s">
        <v>201</v>
      </c>
      <c r="O5" s="9" t="s">
        <v>209</v>
      </c>
      <c r="P5" s="9" t="s">
        <v>210</v>
      </c>
      <c r="Q5" s="9" t="s">
        <v>211</v>
      </c>
    </row>
    <row r="6" spans="1:17" x14ac:dyDescent="0.25">
      <c r="A6" s="9" t="s">
        <v>212</v>
      </c>
      <c r="B6" s="9" t="s">
        <v>213</v>
      </c>
      <c r="C6" s="9" t="s">
        <v>175</v>
      </c>
      <c r="D6" s="9" t="s">
        <v>214</v>
      </c>
      <c r="E6" s="9" t="s">
        <v>177</v>
      </c>
      <c r="F6" s="9" t="s">
        <v>215</v>
      </c>
      <c r="G6" s="9" t="s">
        <v>179</v>
      </c>
      <c r="H6" s="9" t="s">
        <v>179</v>
      </c>
      <c r="I6" s="9" t="s">
        <v>216</v>
      </c>
      <c r="J6" s="9" t="s">
        <v>181</v>
      </c>
      <c r="K6" s="9" t="s">
        <v>181</v>
      </c>
      <c r="L6" s="9" t="s">
        <v>181</v>
      </c>
      <c r="M6" s="9" t="s">
        <v>182</v>
      </c>
      <c r="N6" s="9" t="s">
        <v>183</v>
      </c>
      <c r="O6" s="9" t="s">
        <v>184</v>
      </c>
      <c r="P6" s="9" t="s">
        <v>185</v>
      </c>
      <c r="Q6" s="9" t="s">
        <v>217</v>
      </c>
    </row>
    <row r="7" spans="1:17" x14ac:dyDescent="0.25">
      <c r="A7" s="9" t="s">
        <v>218</v>
      </c>
      <c r="B7" s="9" t="s">
        <v>219</v>
      </c>
      <c r="C7" s="9" t="s">
        <v>220</v>
      </c>
      <c r="D7" s="9" t="s">
        <v>221</v>
      </c>
      <c r="E7" s="9" t="s">
        <v>177</v>
      </c>
      <c r="F7" s="9" t="s">
        <v>190</v>
      </c>
      <c r="G7" s="9" t="s">
        <v>222</v>
      </c>
      <c r="H7" s="9" t="s">
        <v>222</v>
      </c>
      <c r="I7" s="9" t="s">
        <v>223</v>
      </c>
      <c r="J7" s="9" t="s">
        <v>181</v>
      </c>
      <c r="K7" s="9" t="s">
        <v>181</v>
      </c>
      <c r="L7" s="9" t="s">
        <v>181</v>
      </c>
      <c r="M7" s="9" t="s">
        <v>200</v>
      </c>
      <c r="N7" s="9" t="s">
        <v>201</v>
      </c>
      <c r="O7" s="9" t="s">
        <v>224</v>
      </c>
      <c r="P7" s="9" t="s">
        <v>224</v>
      </c>
      <c r="Q7" s="9" t="s">
        <v>225</v>
      </c>
    </row>
    <row r="8" spans="1:17" x14ac:dyDescent="0.25">
      <c r="A8" s="9" t="s">
        <v>226</v>
      </c>
      <c r="B8" s="9" t="s">
        <v>227</v>
      </c>
      <c r="C8" s="9" t="s">
        <v>194</v>
      </c>
      <c r="D8" s="9" t="s">
        <v>228</v>
      </c>
      <c r="E8" s="9" t="s">
        <v>54</v>
      </c>
      <c r="F8" s="9" t="s">
        <v>207</v>
      </c>
      <c r="G8" s="9" t="s">
        <v>229</v>
      </c>
      <c r="H8" s="9" t="s">
        <v>229</v>
      </c>
      <c r="I8" s="9" t="s">
        <v>230</v>
      </c>
      <c r="J8" s="9" t="s">
        <v>231</v>
      </c>
      <c r="K8" s="9" t="s">
        <v>199</v>
      </c>
      <c r="L8" s="9" t="s">
        <v>199</v>
      </c>
      <c r="M8" s="9" t="s">
        <v>232</v>
      </c>
      <c r="N8" s="9" t="s">
        <v>232</v>
      </c>
      <c r="O8" s="9" t="s">
        <v>202</v>
      </c>
      <c r="P8" s="9" t="s">
        <v>202</v>
      </c>
      <c r="Q8" s="9" t="s">
        <v>233</v>
      </c>
    </row>
    <row r="9" spans="1:17" x14ac:dyDescent="0.25">
      <c r="A9" s="9" t="s">
        <v>234</v>
      </c>
      <c r="B9" s="9" t="s">
        <v>235</v>
      </c>
      <c r="C9" s="9" t="s">
        <v>236</v>
      </c>
      <c r="D9" s="9" t="s">
        <v>237</v>
      </c>
      <c r="E9" s="9" t="s">
        <v>196</v>
      </c>
      <c r="F9" s="9" t="s">
        <v>215</v>
      </c>
      <c r="G9" s="9" t="s">
        <v>238</v>
      </c>
      <c r="H9" s="9" t="s">
        <v>239</v>
      </c>
      <c r="I9" s="9" t="s">
        <v>240</v>
      </c>
      <c r="J9" s="9" t="s">
        <v>199</v>
      </c>
      <c r="K9" s="9" t="s">
        <v>181</v>
      </c>
      <c r="L9" s="9" t="s">
        <v>181</v>
      </c>
      <c r="M9" s="9" t="s">
        <v>241</v>
      </c>
      <c r="N9" s="9" t="s">
        <v>201</v>
      </c>
      <c r="O9" s="9" t="s">
        <v>242</v>
      </c>
      <c r="P9" s="9" t="s">
        <v>242</v>
      </c>
      <c r="Q9" s="9" t="s">
        <v>243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D1457"/>
  </sheetPr>
  <dimension ref="A1:X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1" customWidth="1"/>
    <col min="3" max="3" width="14" customWidth="1"/>
    <col min="4" max="4" width="18" customWidth="1"/>
    <col min="5" max="5" width="21" customWidth="1"/>
    <col min="6" max="6" width="14" customWidth="1"/>
    <col min="7" max="7" width="28" customWidth="1"/>
    <col min="8" max="8" width="21" customWidth="1"/>
    <col min="9" max="9" width="16" customWidth="1"/>
    <col min="10" max="10" width="14" customWidth="1"/>
    <col min="11" max="11" width="15" customWidth="1"/>
    <col min="12" max="12" width="16" customWidth="1"/>
    <col min="13" max="13" width="17" customWidth="1"/>
    <col min="14" max="14" width="18" customWidth="1"/>
    <col min="15" max="15" width="20" customWidth="1"/>
    <col min="16" max="16" width="28" customWidth="1"/>
    <col min="17" max="17" width="25" customWidth="1"/>
    <col min="18" max="18" width="26" customWidth="1"/>
    <col min="19" max="19" width="22" customWidth="1"/>
    <col min="20" max="20" width="17" customWidth="1"/>
    <col min="21" max="21" width="13" customWidth="1"/>
    <col min="22" max="22" width="16" customWidth="1"/>
    <col min="23" max="23" width="20" customWidth="1"/>
    <col min="24" max="24" width="13" customWidth="1"/>
  </cols>
  <sheetData>
    <row r="1" ht="34" customHeight="1" spans="1:24" x14ac:dyDescent="0.25">
      <c r="A1" s="6" t="s">
        <v>244</v>
      </c>
      <c r="B1" s="6" t="s">
        <v>245</v>
      </c>
      <c r="C1" s="6" t="s">
        <v>246</v>
      </c>
      <c r="D1" s="6" t="s">
        <v>247</v>
      </c>
      <c r="E1" s="6" t="s">
        <v>248</v>
      </c>
      <c r="F1" s="6" t="s">
        <v>249</v>
      </c>
      <c r="G1" s="6" t="s">
        <v>250</v>
      </c>
      <c r="H1" s="6" t="s">
        <v>251</v>
      </c>
      <c r="I1" s="6" t="s">
        <v>252</v>
      </c>
      <c r="J1" s="6" t="s">
        <v>253</v>
      </c>
      <c r="K1" s="6" t="s">
        <v>254</v>
      </c>
      <c r="L1" s="6" t="s">
        <v>255</v>
      </c>
      <c r="M1" s="6" t="s">
        <v>256</v>
      </c>
      <c r="N1" s="6" t="s">
        <v>257</v>
      </c>
      <c r="O1" s="6" t="s">
        <v>258</v>
      </c>
      <c r="P1" s="6" t="s">
        <v>259</v>
      </c>
      <c r="Q1" s="6" t="s">
        <v>260</v>
      </c>
      <c r="R1" s="6" t="s">
        <v>261</v>
      </c>
      <c r="S1" s="6" t="s">
        <v>262</v>
      </c>
      <c r="T1" s="6" t="s">
        <v>263</v>
      </c>
      <c r="U1" s="6" t="s">
        <v>264</v>
      </c>
      <c r="V1" s="6" t="s">
        <v>265</v>
      </c>
      <c r="W1" s="6" t="s">
        <v>266</v>
      </c>
      <c r="X1" s="6" t="s">
        <v>267</v>
      </c>
    </row>
    <row r="2" spans="1:24" x14ac:dyDescent="0.25">
      <c r="A2" s="9" t="s">
        <v>268</v>
      </c>
      <c r="B2" s="9" t="s">
        <v>269</v>
      </c>
      <c r="C2" s="9" t="s">
        <v>270</v>
      </c>
      <c r="D2" s="9" t="s">
        <v>271</v>
      </c>
      <c r="E2" s="9" t="s">
        <v>272</v>
      </c>
      <c r="F2" s="9" t="s">
        <v>273</v>
      </c>
      <c r="G2" s="9" t="s">
        <v>100</v>
      </c>
      <c r="H2" s="9" t="s">
        <v>274</v>
      </c>
      <c r="I2" s="9" t="s">
        <v>275</v>
      </c>
      <c r="J2" s="9" t="s">
        <v>276</v>
      </c>
      <c r="K2" s="9" t="s">
        <v>277</v>
      </c>
      <c r="L2" s="9" t="s">
        <v>278</v>
      </c>
      <c r="M2" s="9" t="s">
        <v>279</v>
      </c>
      <c r="N2" s="9" t="s">
        <v>280</v>
      </c>
      <c r="O2" s="9" t="s">
        <v>100</v>
      </c>
      <c r="P2" s="9" t="s">
        <v>281</v>
      </c>
      <c r="Q2" s="9" t="s">
        <v>100</v>
      </c>
      <c r="R2" s="9" t="s">
        <v>100</v>
      </c>
      <c r="S2" s="9" t="s">
        <v>282</v>
      </c>
      <c r="T2" s="9" t="s">
        <v>283</v>
      </c>
      <c r="U2" s="9" t="s">
        <v>177</v>
      </c>
      <c r="V2" s="9" t="s">
        <v>178</v>
      </c>
      <c r="W2" s="9" t="s">
        <v>284</v>
      </c>
      <c r="X2" s="9" t="s">
        <v>285</v>
      </c>
    </row>
    <row r="3" spans="1:24" x14ac:dyDescent="0.25">
      <c r="A3" s="9" t="s">
        <v>286</v>
      </c>
      <c r="B3" s="9" t="s">
        <v>287</v>
      </c>
      <c r="C3" s="9" t="s">
        <v>288</v>
      </c>
      <c r="D3" s="9" t="s">
        <v>289</v>
      </c>
      <c r="E3" s="9" t="s">
        <v>290</v>
      </c>
      <c r="F3" s="9" t="s">
        <v>291</v>
      </c>
      <c r="G3" s="9" t="s">
        <v>100</v>
      </c>
      <c r="H3" s="9" t="s">
        <v>195</v>
      </c>
      <c r="I3" s="9" t="s">
        <v>292</v>
      </c>
      <c r="J3" s="9" t="s">
        <v>293</v>
      </c>
      <c r="K3" s="9" t="s">
        <v>294</v>
      </c>
      <c r="L3" s="9" t="s">
        <v>289</v>
      </c>
      <c r="M3" s="9" t="s">
        <v>54</v>
      </c>
      <c r="N3" s="9" t="s">
        <v>295</v>
      </c>
      <c r="O3" s="9" t="s">
        <v>54</v>
      </c>
      <c r="P3" s="9" t="s">
        <v>296</v>
      </c>
      <c r="Q3" s="9" t="s">
        <v>100</v>
      </c>
      <c r="R3" s="9" t="s">
        <v>100</v>
      </c>
      <c r="S3" s="9" t="s">
        <v>54</v>
      </c>
      <c r="T3" s="9" t="s">
        <v>54</v>
      </c>
      <c r="U3" s="9" t="s">
        <v>181</v>
      </c>
      <c r="V3" s="9" t="s">
        <v>197</v>
      </c>
      <c r="W3" s="9" t="s">
        <v>297</v>
      </c>
      <c r="X3" s="9" t="s">
        <v>298</v>
      </c>
    </row>
    <row r="4" spans="1:24" x14ac:dyDescent="0.25">
      <c r="A4" s="9" t="s">
        <v>299</v>
      </c>
      <c r="B4" s="9" t="s">
        <v>300</v>
      </c>
      <c r="C4" s="9" t="s">
        <v>301</v>
      </c>
      <c r="D4" s="9" t="s">
        <v>302</v>
      </c>
      <c r="E4" s="9" t="s">
        <v>303</v>
      </c>
      <c r="F4" s="9" t="s">
        <v>291</v>
      </c>
      <c r="G4" s="9" t="s">
        <v>54</v>
      </c>
      <c r="H4" s="9" t="s">
        <v>228</v>
      </c>
      <c r="I4" s="9" t="s">
        <v>304</v>
      </c>
      <c r="J4" s="9" t="s">
        <v>285</v>
      </c>
      <c r="K4" s="9" t="s">
        <v>305</v>
      </c>
      <c r="L4" s="9" t="s">
        <v>302</v>
      </c>
      <c r="M4" s="9" t="s">
        <v>54</v>
      </c>
      <c r="N4" s="9" t="s">
        <v>306</v>
      </c>
      <c r="O4" s="9" t="s">
        <v>54</v>
      </c>
      <c r="P4" s="9" t="s">
        <v>54</v>
      </c>
      <c r="Q4" s="9" t="s">
        <v>202</v>
      </c>
      <c r="R4" s="9" t="s">
        <v>54</v>
      </c>
      <c r="S4" s="9" t="s">
        <v>202</v>
      </c>
      <c r="T4" s="9" t="s">
        <v>54</v>
      </c>
      <c r="U4" s="9" t="s">
        <v>231</v>
      </c>
      <c r="V4" s="9" t="s">
        <v>207</v>
      </c>
      <c r="W4" s="9" t="s">
        <v>307</v>
      </c>
      <c r="X4" s="9" t="s">
        <v>308</v>
      </c>
    </row>
    <row r="5" spans="1:24" x14ac:dyDescent="0.25">
      <c r="A5" s="9" t="s">
        <v>309</v>
      </c>
      <c r="B5" s="9" t="s">
        <v>310</v>
      </c>
      <c r="C5" s="9" t="s">
        <v>311</v>
      </c>
      <c r="D5" s="9" t="s">
        <v>312</v>
      </c>
      <c r="E5" s="9" t="s">
        <v>313</v>
      </c>
      <c r="F5" s="9" t="s">
        <v>314</v>
      </c>
      <c r="G5" s="9" t="s">
        <v>100</v>
      </c>
      <c r="H5" s="9" t="s">
        <v>221</v>
      </c>
      <c r="I5" s="9" t="s">
        <v>275</v>
      </c>
      <c r="J5" s="9" t="s">
        <v>315</v>
      </c>
      <c r="K5" s="9" t="s">
        <v>316</v>
      </c>
      <c r="L5" s="9" t="s">
        <v>312</v>
      </c>
      <c r="M5" s="9" t="s">
        <v>54</v>
      </c>
      <c r="N5" s="9" t="s">
        <v>295</v>
      </c>
      <c r="O5" s="9" t="s">
        <v>54</v>
      </c>
      <c r="P5" s="9" t="s">
        <v>100</v>
      </c>
      <c r="Q5" s="9" t="s">
        <v>100</v>
      </c>
      <c r="R5" s="9" t="s">
        <v>100</v>
      </c>
      <c r="S5" s="9" t="s">
        <v>317</v>
      </c>
      <c r="T5" s="9" t="s">
        <v>54</v>
      </c>
      <c r="U5" s="9" t="s">
        <v>177</v>
      </c>
      <c r="V5" s="9" t="s">
        <v>190</v>
      </c>
      <c r="W5" s="9" t="s">
        <v>318</v>
      </c>
      <c r="X5" s="9" t="s">
        <v>285</v>
      </c>
    </row>
    <row r="6" spans="1:24" x14ac:dyDescent="0.25">
      <c r="A6" s="9" t="s">
        <v>319</v>
      </c>
      <c r="B6" s="9" t="s">
        <v>320</v>
      </c>
      <c r="C6" s="9" t="s">
        <v>321</v>
      </c>
      <c r="D6" s="9" t="s">
        <v>312</v>
      </c>
      <c r="E6" s="9" t="s">
        <v>322</v>
      </c>
      <c r="F6" s="9" t="s">
        <v>323</v>
      </c>
      <c r="G6" s="9" t="s">
        <v>100</v>
      </c>
      <c r="H6" s="9" t="s">
        <v>324</v>
      </c>
      <c r="I6" s="9" t="s">
        <v>275</v>
      </c>
      <c r="J6" s="9" t="s">
        <v>325</v>
      </c>
      <c r="K6" s="9" t="s">
        <v>277</v>
      </c>
      <c r="L6" s="9" t="s">
        <v>312</v>
      </c>
      <c r="M6" s="9" t="s">
        <v>54</v>
      </c>
      <c r="N6" s="9" t="s">
        <v>295</v>
      </c>
      <c r="O6" s="9" t="s">
        <v>100</v>
      </c>
      <c r="P6" s="9" t="s">
        <v>100</v>
      </c>
      <c r="Q6" s="9" t="s">
        <v>100</v>
      </c>
      <c r="R6" s="9" t="s">
        <v>100</v>
      </c>
      <c r="S6" s="9" t="s">
        <v>54</v>
      </c>
      <c r="T6" s="9" t="s">
        <v>54</v>
      </c>
      <c r="U6" s="9" t="s">
        <v>181</v>
      </c>
      <c r="V6" s="9" t="s">
        <v>326</v>
      </c>
      <c r="W6" s="9" t="s">
        <v>327</v>
      </c>
      <c r="X6" s="9" t="s">
        <v>285</v>
      </c>
    </row>
  </sheetData>
  <autoFilter ref="A1:X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695C"/>
  </sheetPr>
  <dimension ref="A1:L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3" customWidth="1"/>
    <col min="4" max="4" width="15" customWidth="1"/>
    <col min="5" max="6" width="12" customWidth="1"/>
    <col min="7" max="7" width="15" customWidth="1"/>
    <col min="8" max="9" width="13" customWidth="1"/>
    <col min="10" max="10" width="12" customWidth="1"/>
    <col min="11" max="11" width="17" customWidth="1"/>
    <col min="12" max="12" width="19" customWidth="1"/>
  </cols>
  <sheetData>
    <row r="1" ht="34" customHeight="1" spans="1:12" x14ac:dyDescent="0.25">
      <c r="A1" s="6" t="s">
        <v>328</v>
      </c>
      <c r="B1" s="6" t="s">
        <v>329</v>
      </c>
      <c r="C1" s="6" t="s">
        <v>330</v>
      </c>
      <c r="D1" s="6" t="s">
        <v>331</v>
      </c>
      <c r="E1" s="6" t="s">
        <v>46</v>
      </c>
      <c r="F1" s="6" t="s">
        <v>332</v>
      </c>
      <c r="G1" s="6" t="s">
        <v>333</v>
      </c>
      <c r="H1" s="6" t="s">
        <v>267</v>
      </c>
      <c r="I1" s="6" t="s">
        <v>334</v>
      </c>
      <c r="J1" s="6" t="s">
        <v>335</v>
      </c>
      <c r="K1" s="6" t="s">
        <v>336</v>
      </c>
      <c r="L1" s="6" t="s">
        <v>337</v>
      </c>
    </row>
    <row r="2" spans="1:12" x14ac:dyDescent="0.25">
      <c r="A2" s="9" t="s">
        <v>338</v>
      </c>
      <c r="B2" s="9" t="s">
        <v>339</v>
      </c>
      <c r="C2" s="9" t="s">
        <v>340</v>
      </c>
      <c r="D2" s="9" t="s">
        <v>341</v>
      </c>
      <c r="E2" s="9" t="s">
        <v>215</v>
      </c>
      <c r="F2" s="9" t="s">
        <v>342</v>
      </c>
      <c r="G2" s="9" t="s">
        <v>343</v>
      </c>
      <c r="H2" s="9" t="s">
        <v>343</v>
      </c>
      <c r="I2" s="9" t="s">
        <v>344</v>
      </c>
      <c r="J2" s="9" t="s">
        <v>345</v>
      </c>
      <c r="K2" s="9" t="s">
        <v>346</v>
      </c>
      <c r="L2" s="9" t="s">
        <v>347</v>
      </c>
    </row>
    <row r="3" spans="1:12" x14ac:dyDescent="0.25">
      <c r="A3" s="9" t="s">
        <v>348</v>
      </c>
      <c r="B3" s="9" t="s">
        <v>349</v>
      </c>
      <c r="C3" s="9" t="s">
        <v>340</v>
      </c>
      <c r="D3" s="9" t="s">
        <v>350</v>
      </c>
      <c r="E3" s="9" t="s">
        <v>215</v>
      </c>
      <c r="F3" s="9" t="s">
        <v>351</v>
      </c>
      <c r="G3" s="9" t="s">
        <v>352</v>
      </c>
      <c r="H3" s="9" t="s">
        <v>352</v>
      </c>
      <c r="I3" s="9" t="s">
        <v>353</v>
      </c>
      <c r="J3" s="9" t="s">
        <v>345</v>
      </c>
      <c r="K3" s="9" t="s">
        <v>71</v>
      </c>
      <c r="L3" s="9" t="s">
        <v>354</v>
      </c>
    </row>
    <row r="4" spans="1:12" x14ac:dyDescent="0.25">
      <c r="A4" s="9" t="s">
        <v>355</v>
      </c>
      <c r="B4" s="9" t="s">
        <v>356</v>
      </c>
      <c r="C4" s="9" t="s">
        <v>340</v>
      </c>
      <c r="D4" s="9" t="s">
        <v>357</v>
      </c>
      <c r="E4" s="9" t="s">
        <v>190</v>
      </c>
      <c r="F4" s="9" t="s">
        <v>351</v>
      </c>
      <c r="G4" s="9" t="s">
        <v>358</v>
      </c>
      <c r="H4" s="9" t="s">
        <v>358</v>
      </c>
      <c r="I4" s="9" t="s">
        <v>359</v>
      </c>
      <c r="J4" s="9" t="s">
        <v>345</v>
      </c>
      <c r="K4" s="9" t="s">
        <v>360</v>
      </c>
      <c r="L4" s="9" t="s">
        <v>361</v>
      </c>
    </row>
    <row r="5" spans="1:12" x14ac:dyDescent="0.25">
      <c r="A5" s="9" t="s">
        <v>362</v>
      </c>
      <c r="B5" s="9" t="s">
        <v>363</v>
      </c>
      <c r="C5" s="9" t="s">
        <v>340</v>
      </c>
      <c r="D5" s="9" t="s">
        <v>364</v>
      </c>
      <c r="E5" s="9" t="s">
        <v>190</v>
      </c>
      <c r="F5" s="9" t="s">
        <v>215</v>
      </c>
      <c r="G5" s="9" t="s">
        <v>358</v>
      </c>
      <c r="H5" s="9" t="s">
        <v>358</v>
      </c>
      <c r="I5" s="9" t="s">
        <v>359</v>
      </c>
      <c r="J5" s="9" t="s">
        <v>345</v>
      </c>
      <c r="K5" s="9" t="s">
        <v>77</v>
      </c>
      <c r="L5" s="9" t="s">
        <v>365</v>
      </c>
    </row>
    <row r="6" spans="1:12" x14ac:dyDescent="0.25">
      <c r="A6" s="9" t="s">
        <v>366</v>
      </c>
      <c r="B6" s="9" t="s">
        <v>367</v>
      </c>
      <c r="C6" s="9" t="s">
        <v>368</v>
      </c>
      <c r="D6" s="9" t="s">
        <v>369</v>
      </c>
      <c r="E6" s="9" t="s">
        <v>370</v>
      </c>
      <c r="F6" s="9" t="s">
        <v>351</v>
      </c>
      <c r="G6" s="9" t="s">
        <v>293</v>
      </c>
      <c r="H6" s="9" t="s">
        <v>293</v>
      </c>
      <c r="I6" s="9" t="s">
        <v>371</v>
      </c>
      <c r="J6" s="9" t="s">
        <v>345</v>
      </c>
      <c r="K6" s="9" t="s">
        <v>372</v>
      </c>
      <c r="L6" s="9" t="s">
        <v>373</v>
      </c>
    </row>
    <row r="7" spans="1:12" x14ac:dyDescent="0.25">
      <c r="A7" s="9" t="s">
        <v>374</v>
      </c>
      <c r="B7" s="9" t="s">
        <v>375</v>
      </c>
      <c r="C7" s="9" t="s">
        <v>376</v>
      </c>
      <c r="D7" s="9" t="s">
        <v>377</v>
      </c>
      <c r="E7" s="9" t="s">
        <v>215</v>
      </c>
      <c r="F7" s="9" t="s">
        <v>351</v>
      </c>
      <c r="G7" s="9" t="s">
        <v>378</v>
      </c>
      <c r="H7" s="9" t="s">
        <v>378</v>
      </c>
      <c r="I7" s="9" t="s">
        <v>379</v>
      </c>
      <c r="J7" s="9" t="s">
        <v>345</v>
      </c>
      <c r="K7" s="9" t="s">
        <v>380</v>
      </c>
      <c r="L7" s="9" t="s">
        <v>381</v>
      </c>
    </row>
    <row r="8" spans="1:12" x14ac:dyDescent="0.25">
      <c r="A8" s="9" t="s">
        <v>382</v>
      </c>
      <c r="B8" s="9" t="s">
        <v>383</v>
      </c>
      <c r="C8" s="9" t="s">
        <v>384</v>
      </c>
      <c r="D8" s="9" t="s">
        <v>385</v>
      </c>
      <c r="E8" s="9" t="s">
        <v>386</v>
      </c>
      <c r="F8" s="9" t="s">
        <v>342</v>
      </c>
      <c r="G8" s="9" t="s">
        <v>387</v>
      </c>
      <c r="H8" s="9" t="s">
        <v>387</v>
      </c>
      <c r="I8" s="9" t="s">
        <v>388</v>
      </c>
      <c r="J8" s="9" t="s">
        <v>345</v>
      </c>
      <c r="K8" s="9" t="s">
        <v>389</v>
      </c>
      <c r="L8" s="9" t="s">
        <v>390</v>
      </c>
    </row>
    <row r="9" spans="1:12" x14ac:dyDescent="0.25">
      <c r="A9" s="9" t="s">
        <v>391</v>
      </c>
      <c r="B9" s="9" t="s">
        <v>392</v>
      </c>
      <c r="C9" s="9" t="s">
        <v>393</v>
      </c>
      <c r="D9" s="9" t="s">
        <v>394</v>
      </c>
      <c r="E9" s="9" t="s">
        <v>215</v>
      </c>
      <c r="F9" s="9" t="s">
        <v>351</v>
      </c>
      <c r="G9" s="9" t="s">
        <v>1</v>
      </c>
      <c r="H9" s="9" t="s">
        <v>1</v>
      </c>
      <c r="I9" s="9" t="s">
        <v>1</v>
      </c>
      <c r="J9" s="9" t="s">
        <v>395</v>
      </c>
      <c r="K9" s="9" t="s">
        <v>396</v>
      </c>
      <c r="L9" s="9" t="s">
        <v>397</v>
      </c>
    </row>
    <row r="10" spans="1:12" x14ac:dyDescent="0.25">
      <c r="A10" s="9" t="s">
        <v>398</v>
      </c>
      <c r="B10" s="9" t="s">
        <v>399</v>
      </c>
      <c r="C10" s="9" t="s">
        <v>400</v>
      </c>
      <c r="D10" s="9" t="s">
        <v>401</v>
      </c>
      <c r="E10" s="9" t="s">
        <v>197</v>
      </c>
      <c r="F10" s="9" t="s">
        <v>342</v>
      </c>
      <c r="G10" s="9" t="s">
        <v>402</v>
      </c>
      <c r="H10" s="9" t="s">
        <v>402</v>
      </c>
      <c r="I10" s="9" t="s">
        <v>403</v>
      </c>
      <c r="J10" s="9" t="s">
        <v>345</v>
      </c>
      <c r="K10" s="9" t="s">
        <v>61</v>
      </c>
      <c r="L10" s="9" t="s">
        <v>404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565C0"/>
  </sheetPr>
  <dimension ref="A1:G11"/>
  <sheetFormatPr defaultRowHeight="15" outlineLevelRow="0" outlineLevelCol="0" x14ac:dyDescent="55"/>
  <cols>
    <col min="1" max="1" width="16" customWidth="1"/>
    <col min="2" max="2" width="11" customWidth="1"/>
    <col min="4" max="4" width="14" customWidth="1"/>
    <col min="5" max="5" width="13" customWidth="1"/>
    <col min="6" max="6" width="11" customWidth="1"/>
    <col min="7" max="7" width="10" customWidth="1"/>
  </cols>
  <sheetData>
    <row r="1" ht="24" customHeight="1" spans="1:7" s="4" customFormat="1" x14ac:dyDescent="0.25">
      <c r="A1" s="4" t="s">
        <v>18</v>
      </c>
      <c r="B1" s="4"/>
      <c r="C1" s="4"/>
      <c r="D1" s="4"/>
      <c r="E1" s="4"/>
      <c r="F1" s="4"/>
      <c r="G1" s="4"/>
    </row>
    <row r="2" spans="1:7" s="5" customFormat="1" x14ac:dyDescent="0.25">
      <c r="A2" s="5" t="s">
        <v>19</v>
      </c>
      <c r="B2" s="5"/>
      <c r="C2" s="5"/>
      <c r="D2" s="5"/>
      <c r="E2" s="5"/>
      <c r="F2" s="5"/>
      <c r="G2" s="5"/>
    </row>
    <row r="4" ht="28" customHeight="1" spans="1:7" x14ac:dyDescent="0.25">
      <c r="A4" s="6" t="s">
        <v>20</v>
      </c>
      <c r="B4" s="6" t="s">
        <v>21</v>
      </c>
      <c r="C4" s="6" t="s">
        <v>22</v>
      </c>
      <c r="D4" s="6" t="s">
        <v>23</v>
      </c>
      <c r="E4" s="6" t="s">
        <v>24</v>
      </c>
      <c r="F4" s="6" t="s">
        <v>25</v>
      </c>
      <c r="G4" s="6" t="s">
        <v>26</v>
      </c>
    </row>
    <row r="5" spans="1:7" x14ac:dyDescent="0.25">
      <c r="A5" s="7" t="s">
        <v>27</v>
      </c>
      <c r="B5" s="7">
        <f>COUNTIF('Maturity scoring'!$B$2:$B$49,"0 Governance")</f>
      </c>
      <c r="C5" s="7">
        <f>COUNTIFS('Maturity scoring'!$B$2:$B$49,"0 Governance",'Maturity scoring'!$E$2:$E$49,"&lt;&gt;")</f>
      </c>
      <c r="D5" s="7">
        <f>IFERROR(ROUND(AVERAGEIFS('Maturity scoring'!$E$2:$E$49,'Maturity scoring'!$B$2:$B$49,"0 Governance",'Maturity scoring'!$E$2:$E$49,"&lt;&gt;"),2),"-")</f>
      </c>
      <c r="E5" s="7">
        <f>SUMPRODUCT(('Maturity scoring'!$B$2:$B$49="0 Governance")*('Maturity scoring'!$E$2:$E$49&lt;&gt;"")*('Maturity scoring'!$E$2:$E$49&lt;'Maturity scoring'!$F$2:$F$49))</f>
      </c>
      <c r="F5" s="7">
        <f>SUMPRODUCT(('Maturity scoring'!$B$2:$B$49="0 Governance")*(LEFT('Maturity scoring'!$D$2:$D$49,3)="Yes")*('Maturity scoring'!$E$2:$E$49&lt;&gt;"")*(('Maturity scoring'!$E$2:$E$49&lt;'Maturity scoring'!$F$2:$F$49)+('Maturity scoring'!$H$2:$H$49="No")&gt;0))</f>
      </c>
      <c r="G5" s="7">
        <f>IF(C5=0,"—",IF(OR(F5&gt;0,D5&lt;2),"Red",IF(E5&gt;0,"Amber","Green")))</f>
      </c>
    </row>
    <row r="6" spans="1:7" x14ac:dyDescent="0.25">
      <c r="A6" s="7" t="s">
        <v>28</v>
      </c>
      <c r="B6" s="7">
        <f>COUNTIF('Maturity scoring'!$B$2:$B$49,"1 ICT risk")</f>
      </c>
      <c r="C6" s="7">
        <f>COUNTIFS('Maturity scoring'!$B$2:$B$49,"1 ICT risk",'Maturity scoring'!$E$2:$E$49,"&lt;&gt;")</f>
      </c>
      <c r="D6" s="7">
        <f>IFERROR(ROUND(AVERAGEIFS('Maturity scoring'!$E$2:$E$49,'Maturity scoring'!$B$2:$B$49,"1 ICT risk",'Maturity scoring'!$E$2:$E$49,"&lt;&gt;"),2),"-")</f>
      </c>
      <c r="E6" s="7">
        <f>SUMPRODUCT(('Maturity scoring'!$B$2:$B$49="1 ICT risk")*('Maturity scoring'!$E$2:$E$49&lt;&gt;"")*('Maturity scoring'!$E$2:$E$49&lt;'Maturity scoring'!$F$2:$F$49))</f>
      </c>
      <c r="F6" s="7">
        <f>SUMPRODUCT(('Maturity scoring'!$B$2:$B$49="1 ICT risk")*(LEFT('Maturity scoring'!$D$2:$D$49,3)="Yes")*('Maturity scoring'!$E$2:$E$49&lt;&gt;"")*(('Maturity scoring'!$E$2:$E$49&lt;'Maturity scoring'!$F$2:$F$49)+('Maturity scoring'!$H$2:$H$49="No")&gt;0))</f>
      </c>
      <c r="G6" s="7">
        <f>IF(C6=0,"—",IF(OR(F6&gt;0,D6&lt;2),"Red",IF(E6&gt;0,"Amber","Green")))</f>
      </c>
    </row>
    <row r="7" spans="1:7" x14ac:dyDescent="0.25">
      <c r="A7" s="7" t="s">
        <v>29</v>
      </c>
      <c r="B7" s="7">
        <f>COUNTIF('Maturity scoring'!$B$2:$B$49,"2 Incident")</f>
      </c>
      <c r="C7" s="7">
        <f>COUNTIFS('Maturity scoring'!$B$2:$B$49,"2 Incident",'Maturity scoring'!$E$2:$E$49,"&lt;&gt;")</f>
      </c>
      <c r="D7" s="7">
        <f>IFERROR(ROUND(AVERAGEIFS('Maturity scoring'!$E$2:$E$49,'Maturity scoring'!$B$2:$B$49,"2 Incident",'Maturity scoring'!$E$2:$E$49,"&lt;&gt;"),2),"-")</f>
      </c>
      <c r="E7" s="7">
        <f>SUMPRODUCT(('Maturity scoring'!$B$2:$B$49="2 Incident")*('Maturity scoring'!$E$2:$E$49&lt;&gt;"")*('Maturity scoring'!$E$2:$E$49&lt;'Maturity scoring'!$F$2:$F$49))</f>
      </c>
      <c r="F7" s="7">
        <f>SUMPRODUCT(('Maturity scoring'!$B$2:$B$49="2 Incident")*(LEFT('Maturity scoring'!$D$2:$D$49,3)="Yes")*('Maturity scoring'!$E$2:$E$49&lt;&gt;"")*(('Maturity scoring'!$E$2:$E$49&lt;'Maturity scoring'!$F$2:$F$49)+('Maturity scoring'!$H$2:$H$49="No")&gt;0))</f>
      </c>
      <c r="G7" s="7">
        <f>IF(C7=0,"—",IF(OR(F7&gt;0,D7&lt;2),"Red",IF(E7&gt;0,"Amber","Green")))</f>
      </c>
    </row>
    <row r="8" spans="1:7" x14ac:dyDescent="0.25">
      <c r="A8" s="7" t="s">
        <v>30</v>
      </c>
      <c r="B8" s="7">
        <f>COUNTIF('Maturity scoring'!$B$2:$B$49,"3 Testing")</f>
      </c>
      <c r="C8" s="7">
        <f>COUNTIFS('Maturity scoring'!$B$2:$B$49,"3 Testing",'Maturity scoring'!$E$2:$E$49,"&lt;&gt;")</f>
      </c>
      <c r="D8" s="7">
        <f>IFERROR(ROUND(AVERAGEIFS('Maturity scoring'!$E$2:$E$49,'Maturity scoring'!$B$2:$B$49,"3 Testing",'Maturity scoring'!$E$2:$E$49,"&lt;&gt;"),2),"-")</f>
      </c>
      <c r="E8" s="7">
        <f>SUMPRODUCT(('Maturity scoring'!$B$2:$B$49="3 Testing")*('Maturity scoring'!$E$2:$E$49&lt;&gt;"")*('Maturity scoring'!$E$2:$E$49&lt;'Maturity scoring'!$F$2:$F$49))</f>
      </c>
      <c r="F8" s="7">
        <f>SUMPRODUCT(('Maturity scoring'!$B$2:$B$49="3 Testing")*(LEFT('Maturity scoring'!$D$2:$D$49,3)="Yes")*('Maturity scoring'!$E$2:$E$49&lt;&gt;"")*(('Maturity scoring'!$E$2:$E$49&lt;'Maturity scoring'!$F$2:$F$49)+('Maturity scoring'!$H$2:$H$49="No")&gt;0))</f>
      </c>
      <c r="G8" s="7">
        <f>IF(C8=0,"—",IF(OR(F8&gt;0,D8&lt;2),"Red",IF(E8&gt;0,"Amber","Green")))</f>
      </c>
    </row>
    <row r="9" spans="1:7" x14ac:dyDescent="0.25">
      <c r="A9" s="7" t="s">
        <v>31</v>
      </c>
      <c r="B9" s="7">
        <f>COUNTIF('Maturity scoring'!$B$2:$B$49,"4 Third-party")</f>
      </c>
      <c r="C9" s="7">
        <f>COUNTIFS('Maturity scoring'!$B$2:$B$49,"4 Third-party",'Maturity scoring'!$E$2:$E$49,"&lt;&gt;")</f>
      </c>
      <c r="D9" s="7">
        <f>IFERROR(ROUND(AVERAGEIFS('Maturity scoring'!$E$2:$E$49,'Maturity scoring'!$B$2:$B$49,"4 Third-party",'Maturity scoring'!$E$2:$E$49,"&lt;&gt;"),2),"-")</f>
      </c>
      <c r="E9" s="7">
        <f>SUMPRODUCT(('Maturity scoring'!$B$2:$B$49="4 Third-party")*('Maturity scoring'!$E$2:$E$49&lt;&gt;"")*('Maturity scoring'!$E$2:$E$49&lt;'Maturity scoring'!$F$2:$F$49))</f>
      </c>
      <c r="F9" s="7">
        <f>SUMPRODUCT(('Maturity scoring'!$B$2:$B$49="4 Third-party")*(LEFT('Maturity scoring'!$D$2:$D$49,3)="Yes")*('Maturity scoring'!$E$2:$E$49&lt;&gt;"")*(('Maturity scoring'!$E$2:$E$49&lt;'Maturity scoring'!$F$2:$F$49)+('Maturity scoring'!$H$2:$H$49="No")&gt;0))</f>
      </c>
      <c r="G9" s="7">
        <f>IF(C9=0,"—",IF(OR(F9&gt;0,D9&lt;2),"Red",IF(E9&gt;0,"Amber","Green")))</f>
      </c>
    </row>
    <row r="10" spans="1:7" x14ac:dyDescent="0.25">
      <c r="A10" s="7" t="s">
        <v>32</v>
      </c>
      <c r="B10" s="7">
        <f>COUNTIF('Maturity scoring'!$B$2:$B$49,"5 Info sharing")</f>
      </c>
      <c r="C10" s="7">
        <f>COUNTIFS('Maturity scoring'!$B$2:$B$49,"5 Info sharing",'Maturity scoring'!$E$2:$E$49,"&lt;&gt;")</f>
      </c>
      <c r="D10" s="7">
        <f>IFERROR(ROUND(AVERAGEIFS('Maturity scoring'!$E$2:$E$49,'Maturity scoring'!$B$2:$B$49,"5 Info sharing",'Maturity scoring'!$E$2:$E$49,"&lt;&gt;"),2),"-")</f>
      </c>
      <c r="E10" s="7">
        <f>SUMPRODUCT(('Maturity scoring'!$B$2:$B$49="5 Info sharing")*('Maturity scoring'!$E$2:$E$49&lt;&gt;"")*('Maturity scoring'!$E$2:$E$49&lt;'Maturity scoring'!$F$2:$F$49))</f>
      </c>
      <c r="F10" s="7">
        <f>SUMPRODUCT(('Maturity scoring'!$B$2:$B$49="5 Info sharing")*(LEFT('Maturity scoring'!$D$2:$D$49,3)="Yes")*('Maturity scoring'!$E$2:$E$49&lt;&gt;"")*(('Maturity scoring'!$E$2:$E$49&lt;'Maturity scoring'!$F$2:$F$49)+('Maturity scoring'!$H$2:$H$49="No")&gt;0))</f>
      </c>
      <c r="G10" s="7">
        <f>IF(C10=0,"—",IF(OR(F10&gt;0,D10&lt;2),"Red",IF(E10&gt;0,"Amber","Green")))</f>
      </c>
    </row>
    <row r="11" spans="1:7" x14ac:dyDescent="0.25">
      <c r="A11" s="8" t="s">
        <v>33</v>
      </c>
      <c r="B11" s="8">
        <f>COUNTA('Maturity scoring'!$A$2:$A$49)</f>
      </c>
      <c r="C11" s="8">
        <f>COUNTIF('Maturity scoring'!$E$2:$E$49,"&lt;&gt;")</f>
      </c>
      <c r="D11" s="8">
        <f>IFERROR(ROUND(AVERAGEIF('Maturity scoring'!$E$2:$E$49,"&lt;&gt;",'Maturity scoring'!$E$2:$E$49),2),"-")</f>
      </c>
      <c r="E11" s="8">
        <f>SUM(E5:E10)</f>
      </c>
      <c r="F11" s="8">
        <f>SUM(F5:F10)</f>
      </c>
      <c r="G11" s="8">
        <f>IF(C11=0,"—",IF(OR(F11&gt;0,D11&lt;2),"Red",IF(E11&gt;0,"Amber","Green")))</f>
      </c>
    </row>
  </sheetData>
  <mergeCells count="2">
    <mergeCell ref="A1:G1"/>
    <mergeCell ref="A2:G2"/>
  </mergeCells>
  <conditionalFormatting sqref="G5:G11">
    <cfRule type="containsText" dxfId="0" priority="1">
      <formula>NOT(ISERROR(SEARCH("Red",G5)))</formula>
    </cfRule>
    <cfRule type="containsText" dxfId="1" priority="2">
      <formula>NOT(ISERROR(SEARCH("Amber",G5)))</formula>
    </cfRule>
    <cfRule type="containsText" dxfId="2" priority="3">
      <formula>NOT(ISERROR(SEARCH("Green",G5)))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Dashboard</vt:lpstr>
      <vt:lpstr>Maturity scoring</vt:lpstr>
      <vt:lpstr>Asset register</vt:lpstr>
      <vt:lpstr>Third-party register</vt:lpstr>
      <vt:lpstr>Policy register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Implementation Toolkit</dc:creator>
  <dc:title/>
  <dc:subject/>
  <dc:description/>
  <cp:keywords/>
  <cp:category/>
  <cp:lastModifiedBy>Unknown</cp:lastModifiedBy>
  <dcterms:created xsi:type="dcterms:W3CDTF">2026-07-05T09:28:09Z</dcterms:created>
  <dcterms:modified xsi:type="dcterms:W3CDTF">2026-07-05T09:28:09Z</dcterms:modified>
</cp:coreProperties>
</file>